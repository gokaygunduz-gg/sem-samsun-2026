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EM Kontrol Listesi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'SEM Kontrol Listesi'!$A$1:$U$350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0" pivotButton="0" quotePrefix="1" xfId="0"/>
    <xf numFmtId="0" fontId="2" fillId="5" borderId="0" pivotButton="0" quotePrefix="0" xfId="0"/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tabSelected="1" workbookViewId="0">
      <pane ySplit="1" topLeftCell="A251" activePane="bottomLeft" state="frozen"/>
      <selection pane="bottomLeft" activeCell="K287" sqref="K287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5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48.28515625" bestFit="1" customWidth="1" min="16" max="16"/>
  </cols>
  <sheetData>
    <row r="1" ht="21.95" customHeight="1">
      <c r="A1" s="1" t="inlineStr">
        <is>
          <t>S.</t>
        </is>
      </c>
      <c r="B1" s="1" t="inlineStr">
        <is>
          <t>Şehir</t>
        </is>
      </c>
      <c r="C1" s="1" t="inlineStr">
        <is>
          <t>Cinsiyet</t>
        </is>
      </c>
      <c r="D1" s="1" t="inlineStr">
        <is>
          <t>Ad Soyad</t>
        </is>
      </c>
      <c r="E1" s="1" t="inlineStr">
        <is>
          <t>YB</t>
        </is>
      </c>
      <c r="F1" s="1" t="inlineStr">
        <is>
          <t>TC No</t>
        </is>
      </c>
      <c r="G1" s="1" t="inlineStr">
        <is>
          <t>Yarış 1</t>
        </is>
      </c>
      <c r="H1" s="1" t="inlineStr">
        <is>
          <t>Süre 1</t>
        </is>
      </c>
      <c r="I1" s="1" t="inlineStr">
        <is>
          <t>Yarış 2</t>
        </is>
      </c>
      <c r="J1" s="1" t="inlineStr">
        <is>
          <t>Süre 2</t>
        </is>
      </c>
      <c r="K1" s="1" t="inlineStr">
        <is>
          <t>Yarış 3</t>
        </is>
      </c>
      <c r="L1" s="1" t="inlineStr">
        <is>
          <t>Süre 3</t>
        </is>
      </c>
      <c r="M1" s="1" t="inlineStr">
        <is>
          <t>Yarış 4</t>
        </is>
      </c>
      <c r="N1" s="1" t="inlineStr">
        <is>
          <t>Süre 4</t>
        </is>
      </c>
      <c r="P1" s="17" t="inlineStr">
        <is>
          <t>Kulüp</t>
        </is>
      </c>
    </row>
    <row r="2" ht="15.95" customHeight="1">
      <c r="A2" s="2" t="n">
        <v>1</v>
      </c>
      <c r="B2" s="2" t="inlineStr">
        <is>
          <t>Adana</t>
        </is>
      </c>
      <c r="C2" s="3" t="inlineStr">
        <is>
          <t>Erkek</t>
        </is>
      </c>
      <c r="D2" s="3" t="inlineStr">
        <is>
          <t>Doruk ATİK</t>
        </is>
      </c>
      <c r="E2" s="2" t="inlineStr">
        <is>
          <t>14</t>
        </is>
      </c>
      <c r="F2" s="2" t="inlineStr">
        <is>
          <t>15931247222</t>
        </is>
      </c>
      <c r="G2" s="2" t="inlineStr">
        <is>
          <t>200m Serbest</t>
        </is>
      </c>
      <c r="H2" s="2" t="inlineStr">
        <is>
          <t>2:20.14</t>
        </is>
      </c>
      <c r="I2" s="2" t="inlineStr">
        <is>
          <t>800m Serbest</t>
        </is>
      </c>
      <c r="J2" s="2" t="inlineStr">
        <is>
          <t>10:08.88</t>
        </is>
      </c>
      <c r="K2" s="2" t="inlineStr">
        <is>
          <t>400m Serbest</t>
        </is>
      </c>
      <c r="L2" s="2" t="inlineStr">
        <is>
          <t>4:52.66</t>
        </is>
      </c>
      <c r="M2" s="2" t="inlineStr">
        <is>
          <t>200m Karışık</t>
        </is>
      </c>
      <c r="N2" s="2" t="inlineStr">
        <is>
          <t>2:41.06</t>
        </is>
      </c>
      <c r="P2" t="inlineStr">
        <is>
          <t>Unsal Firikci Spor Kulübü</t>
        </is>
      </c>
      <c r="Q2" t="inlineStr">
        <is>
          <t>Adana</t>
        </is>
      </c>
      <c r="R2">
        <f>Q2=B2</f>
        <v/>
      </c>
      <c r="T2">
        <f>MATCH(D2,[1]Manual!$A:$A,0)</f>
        <v/>
      </c>
    </row>
    <row r="3" ht="15.95" customHeight="1">
      <c r="A3" s="4" t="n">
        <v>2</v>
      </c>
      <c r="B3" s="4" t="inlineStr">
        <is>
          <t>Adana</t>
        </is>
      </c>
      <c r="C3" s="5" t="inlineStr">
        <is>
          <t>Bayan</t>
        </is>
      </c>
      <c r="D3" s="5" t="inlineStr">
        <is>
          <t>Dünyam Aden Su KÜÇÜK</t>
        </is>
      </c>
      <c r="E3" s="4" t="inlineStr">
        <is>
          <t>14</t>
        </is>
      </c>
      <c r="F3" s="4" t="inlineStr">
        <is>
          <t>13402335544</t>
        </is>
      </c>
      <c r="G3" s="4" t="inlineStr">
        <is>
          <t>400m Serbest</t>
        </is>
      </c>
      <c r="H3" s="4" t="inlineStr">
        <is>
          <t>5:10.25</t>
        </is>
      </c>
      <c r="I3" s="4" t="inlineStr">
        <is>
          <t>1500m Serbest</t>
        </is>
      </c>
      <c r="J3" s="4" t="inlineStr">
        <is>
          <t>20:11.25</t>
        </is>
      </c>
      <c r="K3" s="4" t="inlineStr">
        <is>
          <t>800m Serbest</t>
        </is>
      </c>
      <c r="L3" s="4" t="inlineStr">
        <is>
          <t>10:41.99</t>
        </is>
      </c>
      <c r="M3" s="4" t="inlineStr">
        <is>
          <t>200m Karışık</t>
        </is>
      </c>
      <c r="N3" s="4" t="inlineStr">
        <is>
          <t>2:49.45</t>
        </is>
      </c>
      <c r="P3" t="inlineStr">
        <is>
          <t>Ageb Spor Kulübü</t>
        </is>
      </c>
      <c r="Q3" t="inlineStr">
        <is>
          <t>Adana</t>
        </is>
      </c>
      <c r="R3">
        <f>Q3=B3</f>
        <v/>
      </c>
      <c r="T3">
        <f>MATCH(D3,[1]Manual!$A:$A,0)</f>
        <v/>
      </c>
    </row>
    <row r="4" ht="15.95" customHeight="1">
      <c r="A4" s="2" t="n">
        <v>3</v>
      </c>
      <c r="B4" s="2" t="inlineStr">
        <is>
          <t>Adana</t>
        </is>
      </c>
      <c r="C4" s="3" t="inlineStr">
        <is>
          <t>Bayan</t>
        </is>
      </c>
      <c r="D4" s="3" t="inlineStr">
        <is>
          <t>Kumsal İkra Yaşar</t>
        </is>
      </c>
      <c r="E4" s="2" t="inlineStr">
        <is>
          <t>13</t>
        </is>
      </c>
      <c r="F4" s="2" t="inlineStr">
        <is>
          <t>14264089327</t>
        </is>
      </c>
      <c r="G4" s="2" t="inlineStr">
        <is>
          <t>200m Serbest</t>
        </is>
      </c>
      <c r="H4" s="2" t="inlineStr">
        <is>
          <t>02:18.64</t>
        </is>
      </c>
      <c r="I4" s="2" t="inlineStr">
        <is>
          <t>200m Sırtüstü</t>
        </is>
      </c>
      <c r="J4" s="2" t="inlineStr">
        <is>
          <t>02:36.72</t>
        </is>
      </c>
      <c r="K4" s="2" t="inlineStr">
        <is>
          <t>400m Serbest</t>
        </is>
      </c>
      <c r="L4" s="2" t="inlineStr">
        <is>
          <t>04:49.94</t>
        </is>
      </c>
      <c r="M4" s="2" t="inlineStr">
        <is>
          <t>200m Karışık</t>
        </is>
      </c>
      <c r="N4" s="2" t="inlineStr">
        <is>
          <t>02:38.79</t>
        </is>
      </c>
      <c r="P4" t="inlineStr">
        <is>
          <t>Adana Gençlik Spor Kulübü</t>
        </is>
      </c>
      <c r="Q4" t="inlineStr">
        <is>
          <t>Adana</t>
        </is>
      </c>
      <c r="R4">
        <f>Q4=B4</f>
        <v/>
      </c>
      <c r="T4">
        <f>MATCH(D4,[1]Manual!$A:$A,0)</f>
        <v/>
      </c>
    </row>
    <row r="5" ht="15.95" customHeight="1">
      <c r="A5" s="4" t="n">
        <v>4</v>
      </c>
      <c r="B5" s="4" t="inlineStr">
        <is>
          <t>Adana</t>
        </is>
      </c>
      <c r="C5" s="5" t="inlineStr">
        <is>
          <t>Bayan</t>
        </is>
      </c>
      <c r="D5" s="5" t="inlineStr">
        <is>
          <t>Ömür GÜVEL</t>
        </is>
      </c>
      <c r="E5" s="4" t="inlineStr">
        <is>
          <t>13</t>
        </is>
      </c>
      <c r="F5" s="4" t="inlineStr">
        <is>
          <t>71470173616</t>
        </is>
      </c>
      <c r="G5" s="4" t="inlineStr">
        <is>
          <t>100m Serbest</t>
        </is>
      </c>
      <c r="H5" s="4" t="inlineStr">
        <is>
          <t>1:02.43</t>
        </is>
      </c>
      <c r="I5" s="4" t="inlineStr">
        <is>
          <t>100m Kelebek</t>
        </is>
      </c>
      <c r="J5" s="4" t="inlineStr">
        <is>
          <t>1:07.46</t>
        </is>
      </c>
      <c r="K5" s="4" t="inlineStr">
        <is>
          <t>200m Serbest</t>
        </is>
      </c>
      <c r="L5" s="4" t="inlineStr">
        <is>
          <t>2:17.93</t>
        </is>
      </c>
      <c r="M5" s="4" t="inlineStr">
        <is>
          <t>200m Karışık</t>
        </is>
      </c>
      <c r="N5" s="4" t="inlineStr">
        <is>
          <t>2:35.19</t>
        </is>
      </c>
      <c r="P5" t="inlineStr">
        <is>
          <t>Unsal Firikci Spor Kulübü</t>
        </is>
      </c>
      <c r="Q5" t="inlineStr">
        <is>
          <t>Adana</t>
        </is>
      </c>
      <c r="R5">
        <f>Q5=B5</f>
        <v/>
      </c>
      <c r="T5">
        <f>MATCH(D5,[1]Manual!$A:$A,0)</f>
        <v/>
      </c>
    </row>
    <row r="6" ht="15.95" customHeight="1">
      <c r="A6" s="2" t="n">
        <v>5</v>
      </c>
      <c r="B6" s="2" t="inlineStr">
        <is>
          <t>Ankara</t>
        </is>
      </c>
      <c r="C6" s="3" t="inlineStr">
        <is>
          <t>Erkek</t>
        </is>
      </c>
      <c r="D6" s="3" t="inlineStr">
        <is>
          <t>Ahmet Tuna Atcı</t>
        </is>
      </c>
      <c r="E6" s="2" t="inlineStr">
        <is>
          <t>13</t>
        </is>
      </c>
      <c r="F6" s="2" t="inlineStr">
        <is>
          <t>28646525816</t>
        </is>
      </c>
      <c r="G6" s="2" t="inlineStr">
        <is>
          <t>100m Serbest</t>
        </is>
      </c>
      <c r="H6" s="2" t="inlineStr">
        <is>
          <t>58.32</t>
        </is>
      </c>
      <c r="I6" s="2" t="inlineStr">
        <is>
          <t>400m Serbest</t>
        </is>
      </c>
      <c r="J6" s="2" t="inlineStr">
        <is>
          <t>4:33.69</t>
        </is>
      </c>
      <c r="K6" s="2" t="inlineStr">
        <is>
          <t>200m Serbest</t>
        </is>
      </c>
      <c r="L6" s="2" t="inlineStr">
        <is>
          <t>2:06.35</t>
        </is>
      </c>
      <c r="M6" s="2" t="inlineStr">
        <is>
          <t>100m Kelebek</t>
        </is>
      </c>
      <c r="N6" s="2" t="inlineStr">
        <is>
          <t>1:04.93</t>
        </is>
      </c>
      <c r="P6" t="inlineStr">
        <is>
          <t>Nesibe Aydın Spor Kulübü</t>
        </is>
      </c>
      <c r="Q6" t="inlineStr">
        <is>
          <t>Ankara</t>
        </is>
      </c>
      <c r="R6">
        <f>Q6=B6</f>
        <v/>
      </c>
      <c r="T6">
        <f>MATCH(D6,[1]Manual!$A:$A,0)</f>
        <v/>
      </c>
    </row>
    <row r="7" ht="15.95" customHeight="1">
      <c r="A7" s="4" t="n">
        <v>6</v>
      </c>
      <c r="B7" s="4" t="inlineStr">
        <is>
          <t>Ankara</t>
        </is>
      </c>
      <c r="C7" s="5" t="inlineStr">
        <is>
          <t>Erkek</t>
        </is>
      </c>
      <c r="D7" s="5" t="inlineStr">
        <is>
          <t>Ahmet Yağız PARLAK</t>
        </is>
      </c>
      <c r="E7" s="4" t="inlineStr">
        <is>
          <t>09</t>
        </is>
      </c>
      <c r="F7" s="4" t="inlineStr">
        <is>
          <t>16543066651</t>
        </is>
      </c>
      <c r="G7" s="4" t="inlineStr">
        <is>
          <t>50m Serbest</t>
        </is>
      </c>
      <c r="H7" s="4" t="inlineStr">
        <is>
          <t>24.25</t>
        </is>
      </c>
      <c r="I7" s="4" t="inlineStr">
        <is>
          <t>50m Kelebek</t>
        </is>
      </c>
      <c r="J7" s="4" t="inlineStr">
        <is>
          <t>25.88</t>
        </is>
      </c>
      <c r="K7" s="4" t="inlineStr">
        <is>
          <t>100m Serbest</t>
        </is>
      </c>
      <c r="L7" s="4" t="inlineStr">
        <is>
          <t>53.18</t>
        </is>
      </c>
      <c r="M7" s="4" t="inlineStr">
        <is>
          <t>100m Kelebek</t>
        </is>
      </c>
      <c r="N7" s="4" t="inlineStr">
        <is>
          <t>58.03</t>
        </is>
      </c>
      <c r="P7" s="6" t="inlineStr">
        <is>
          <t>Altın Nefes Spor Kulübü</t>
        </is>
      </c>
      <c r="Q7" s="6" t="inlineStr">
        <is>
          <t>Ankara</t>
        </is>
      </c>
      <c r="R7">
        <f>Q7=B7</f>
        <v/>
      </c>
      <c r="T7">
        <f>MATCH(D7,[1]Manual!$A:$A,0)</f>
        <v/>
      </c>
    </row>
    <row r="8" ht="15.95" customHeight="1">
      <c r="A8" s="2" t="n">
        <v>7</v>
      </c>
      <c r="B8" s="2" t="inlineStr">
        <is>
          <t>Ankara</t>
        </is>
      </c>
      <c r="C8" s="3" t="inlineStr">
        <is>
          <t>Erkek</t>
        </is>
      </c>
      <c r="D8" s="3" t="inlineStr">
        <is>
          <t>Ali Bulut EZDER</t>
        </is>
      </c>
      <c r="E8" s="2" t="inlineStr">
        <is>
          <t>14</t>
        </is>
      </c>
      <c r="F8" s="2" t="inlineStr">
        <is>
          <t>38990257324</t>
        </is>
      </c>
      <c r="G8" s="2" t="inlineStr">
        <is>
          <t>200m Serbest</t>
        </is>
      </c>
      <c r="H8" s="2" t="inlineStr">
        <is>
          <t>2:22.05</t>
        </is>
      </c>
      <c r="I8" s="2" t="inlineStr">
        <is>
          <t>800m Serbest</t>
        </is>
      </c>
      <c r="J8" s="2" t="inlineStr">
        <is>
          <t>NT</t>
        </is>
      </c>
      <c r="K8" s="2" t="inlineStr">
        <is>
          <t>400m Serbest</t>
        </is>
      </c>
      <c r="L8" s="2" t="inlineStr">
        <is>
          <t>4:54.95</t>
        </is>
      </c>
      <c r="M8" s="2" t="inlineStr">
        <is>
          <t>200m Karışık</t>
        </is>
      </c>
      <c r="N8" s="2" t="inlineStr">
        <is>
          <t>2:48.65</t>
        </is>
      </c>
      <c r="P8" t="inlineStr">
        <is>
          <t>Baskent Cankaya Spor Kulübü</t>
        </is>
      </c>
      <c r="Q8" t="inlineStr">
        <is>
          <t>Ankara</t>
        </is>
      </c>
      <c r="R8">
        <f>Q8=B8</f>
        <v/>
      </c>
      <c r="T8">
        <f>MATCH(D8,[1]Manual!$A:$A,0)</f>
        <v/>
      </c>
    </row>
    <row r="9" ht="15.95" customHeight="1">
      <c r="A9" s="4" t="n">
        <v>8</v>
      </c>
      <c r="B9" s="4" t="inlineStr">
        <is>
          <t>Ankara</t>
        </is>
      </c>
      <c r="C9" s="5" t="inlineStr">
        <is>
          <t>Erkek</t>
        </is>
      </c>
      <c r="D9" s="5" t="inlineStr">
        <is>
          <t>Ali Kemal ERYAMAN</t>
        </is>
      </c>
      <c r="E9" s="4" t="inlineStr">
        <is>
          <t>14</t>
        </is>
      </c>
      <c r="F9" s="4" t="inlineStr">
        <is>
          <t>14059104919</t>
        </is>
      </c>
      <c r="G9" s="4" t="inlineStr">
        <is>
          <t>100m Serbest</t>
        </is>
      </c>
      <c r="H9" s="4" t="inlineStr">
        <is>
          <t>1:05.55</t>
        </is>
      </c>
      <c r="I9" s="4" t="inlineStr">
        <is>
          <t>400m Serbest</t>
        </is>
      </c>
      <c r="J9" s="4" t="inlineStr">
        <is>
          <t>5:03.45</t>
        </is>
      </c>
      <c r="K9" s="4" t="inlineStr">
        <is>
          <t>200m Serbest</t>
        </is>
      </c>
      <c r="L9" s="4" t="inlineStr">
        <is>
          <t>2:21.97</t>
        </is>
      </c>
      <c r="M9" s="4" t="inlineStr">
        <is>
          <t>200m Karışık</t>
        </is>
      </c>
      <c r="N9" s="4" t="inlineStr">
        <is>
          <t>2:50.06</t>
        </is>
      </c>
      <c r="P9" t="inlineStr">
        <is>
          <t>Ted Ankara Kolejliler Spor Kulübü</t>
        </is>
      </c>
      <c r="Q9" t="inlineStr">
        <is>
          <t>Ankara</t>
        </is>
      </c>
      <c r="R9">
        <f>Q9=B9</f>
        <v/>
      </c>
      <c r="T9">
        <f>MATCH(D9,[1]Manual!$A:$A,0)</f>
        <v/>
      </c>
    </row>
    <row r="10" ht="15.95" customHeight="1">
      <c r="A10" s="2" t="n">
        <v>9</v>
      </c>
      <c r="B10" s="2" t="inlineStr">
        <is>
          <t>Ankara</t>
        </is>
      </c>
      <c r="C10" s="3" t="inlineStr">
        <is>
          <t>Erkek</t>
        </is>
      </c>
      <c r="D10" s="3" t="inlineStr">
        <is>
          <t>Alp ALPER</t>
        </is>
      </c>
      <c r="E10" s="2" t="inlineStr">
        <is>
          <t>10</t>
        </is>
      </c>
      <c r="F10" s="2" t="inlineStr">
        <is>
          <t>12058129759</t>
        </is>
      </c>
      <c r="G10" s="2" t="inlineStr">
        <is>
          <t>50m Serbest</t>
        </is>
      </c>
      <c r="H10" s="2" t="inlineStr">
        <is>
          <t>24.87</t>
        </is>
      </c>
      <c r="I10" s="2" t="inlineStr">
        <is>
          <t>200m Serbest</t>
        </is>
      </c>
      <c r="J10" s="2" t="inlineStr">
        <is>
          <t>2:01.38</t>
        </is>
      </c>
      <c r="K10" s="2" t="inlineStr">
        <is>
          <t>100m Serbest</t>
        </is>
      </c>
      <c r="L10" s="2" t="inlineStr">
        <is>
          <t>55.01</t>
        </is>
      </c>
      <c r="M10" s="2" t="inlineStr">
        <is>
          <t>200m Karışık</t>
        </is>
      </c>
      <c r="N10" s="2" t="inlineStr">
        <is>
          <t>2:16.19</t>
        </is>
      </c>
      <c r="P10" s="6" t="inlineStr">
        <is>
          <t>Nesibe Aydın Spor Kulübü</t>
        </is>
      </c>
      <c r="Q10" s="6" t="inlineStr">
        <is>
          <t>Ankara</t>
        </is>
      </c>
      <c r="R10">
        <f>Q10=B10</f>
        <v/>
      </c>
      <c r="T10">
        <f>MATCH(D10,[1]Manual!$A:$A,0)</f>
        <v/>
      </c>
    </row>
    <row r="11" ht="15.95" customHeight="1">
      <c r="A11" s="4" t="n">
        <v>10</v>
      </c>
      <c r="B11" s="4" t="inlineStr">
        <is>
          <t>Ankara</t>
        </is>
      </c>
      <c r="C11" s="5" t="inlineStr">
        <is>
          <t>Erkek</t>
        </is>
      </c>
      <c r="D11" s="5" t="inlineStr">
        <is>
          <t>Barış DÜZGÜN</t>
        </is>
      </c>
      <c r="E11" s="4" t="inlineStr">
        <is>
          <t>14</t>
        </is>
      </c>
      <c r="F11" s="4" t="inlineStr">
        <is>
          <t>18850052916</t>
        </is>
      </c>
      <c r="G11" s="4" t="inlineStr">
        <is>
          <t>100m Kelebek</t>
        </is>
      </c>
      <c r="H11" s="4" t="inlineStr">
        <is>
          <t>1:10.48</t>
        </is>
      </c>
      <c r="I11" s="4" t="inlineStr">
        <is>
          <t>200m Karışık</t>
        </is>
      </c>
      <c r="J11" s="4" t="inlineStr">
        <is>
          <t>2:39.55</t>
        </is>
      </c>
      <c r="K11" s="4" t="inlineStr">
        <is>
          <t>200m Kelebek</t>
        </is>
      </c>
      <c r="L11" s="4" t="inlineStr">
        <is>
          <t>NT</t>
        </is>
      </c>
      <c r="M11" s="4" t="inlineStr">
        <is>
          <t>400m Karışık</t>
        </is>
      </c>
      <c r="N11" s="4" t="inlineStr">
        <is>
          <t>NT</t>
        </is>
      </c>
      <c r="P11" t="inlineStr">
        <is>
          <t>Baskent Cankaya Spor Kulübü</t>
        </is>
      </c>
      <c r="Q11" t="inlineStr">
        <is>
          <t>Ankara</t>
        </is>
      </c>
      <c r="R11">
        <f>Q11=B11</f>
        <v/>
      </c>
      <c r="T11">
        <f>MATCH(D11,[1]Manual!$A:$A,0)</f>
        <v/>
      </c>
    </row>
    <row r="12" ht="15.95" customHeight="1">
      <c r="A12" s="2" t="n">
        <v>11</v>
      </c>
      <c r="B12" s="2" t="inlineStr">
        <is>
          <t>Ankara</t>
        </is>
      </c>
      <c r="C12" s="3" t="inlineStr">
        <is>
          <t>Erkek</t>
        </is>
      </c>
      <c r="D12" s="3" t="inlineStr">
        <is>
          <t>Batu KARAMAN</t>
        </is>
      </c>
      <c r="E12" s="2" t="inlineStr">
        <is>
          <t>14</t>
        </is>
      </c>
      <c r="F12" s="2" t="inlineStr">
        <is>
          <t>18341946444</t>
        </is>
      </c>
      <c r="G12" s="2" t="inlineStr">
        <is>
          <t>400m Serbest</t>
        </is>
      </c>
      <c r="H12" s="2" t="inlineStr">
        <is>
          <t>4:40.08</t>
        </is>
      </c>
      <c r="I12" s="2" t="inlineStr">
        <is>
          <t>200m Karışık</t>
        </is>
      </c>
      <c r="J12" s="2" t="inlineStr">
        <is>
          <t>2:32.45</t>
        </is>
      </c>
      <c r="K12" s="2" t="inlineStr">
        <is>
          <t>200m Kelebek</t>
        </is>
      </c>
      <c r="L12" s="2" t="inlineStr">
        <is>
          <t>2:53.46</t>
        </is>
      </c>
      <c r="M12" s="2" t="inlineStr">
        <is>
          <t>400m Karışık</t>
        </is>
      </c>
      <c r="N12" s="2" t="inlineStr">
        <is>
          <t>6:10.89</t>
        </is>
      </c>
      <c r="P12" t="inlineStr">
        <is>
          <t>Baskent Cankaya Spor Kulübü</t>
        </is>
      </c>
      <c r="Q12" t="inlineStr">
        <is>
          <t>Ankara</t>
        </is>
      </c>
      <c r="R12">
        <f>Q12=B12</f>
        <v/>
      </c>
      <c r="T12">
        <f>MATCH(D12,[1]Manual!$A:$A,0)</f>
        <v/>
      </c>
    </row>
    <row r="13" ht="15.95" customHeight="1">
      <c r="A13" s="4" t="n">
        <v>12</v>
      </c>
      <c r="B13" s="4" t="inlineStr">
        <is>
          <t>Ankara</t>
        </is>
      </c>
      <c r="C13" s="5" t="inlineStr">
        <is>
          <t>Erkek</t>
        </is>
      </c>
      <c r="D13" s="5" t="inlineStr">
        <is>
          <t>Batuhan ARSLAN</t>
        </is>
      </c>
      <c r="E13" s="4" t="inlineStr">
        <is>
          <t>14</t>
        </is>
      </c>
      <c r="F13" s="4" t="inlineStr">
        <is>
          <t>13375093217</t>
        </is>
      </c>
      <c r="G13" s="4" t="inlineStr">
        <is>
          <t>100m Kurbağalama</t>
        </is>
      </c>
      <c r="H13" s="4" t="inlineStr">
        <is>
          <t>1:21.74</t>
        </is>
      </c>
      <c r="I13" s="4" t="inlineStr">
        <is>
          <t>200m Karışık</t>
        </is>
      </c>
      <c r="J13" s="4" t="inlineStr">
        <is>
          <t>2:38.31</t>
        </is>
      </c>
      <c r="K13" s="4" t="inlineStr">
        <is>
          <t>100m Kelebek</t>
        </is>
      </c>
      <c r="L13" s="4" t="inlineStr">
        <is>
          <t>1:09.83</t>
        </is>
      </c>
      <c r="M13" s="4" t="inlineStr">
        <is>
          <t>400m Karışık</t>
        </is>
      </c>
      <c r="N13" s="4" t="inlineStr">
        <is>
          <t>6:12.90</t>
        </is>
      </c>
      <c r="P13" t="inlineStr">
        <is>
          <t>Fatih Karakurt Alpha Academy Spor Kulübü</t>
        </is>
      </c>
      <c r="Q13" t="inlineStr">
        <is>
          <t>Ankara</t>
        </is>
      </c>
      <c r="R13">
        <f>Q13=B13</f>
        <v/>
      </c>
      <c r="T13">
        <f>MATCH(D13,[1]Manual!$A:$A,0)</f>
        <v/>
      </c>
    </row>
    <row r="14" ht="15.95" customHeight="1">
      <c r="A14" s="2" t="n">
        <v>13</v>
      </c>
      <c r="B14" s="2" t="inlineStr">
        <is>
          <t>Ankara</t>
        </is>
      </c>
      <c r="C14" s="3" t="inlineStr">
        <is>
          <t>Erkek</t>
        </is>
      </c>
      <c r="D14" s="3" t="inlineStr">
        <is>
          <t>Deniz KAYMAK</t>
        </is>
      </c>
      <c r="E14" s="2" t="inlineStr">
        <is>
          <t>13</t>
        </is>
      </c>
      <c r="F14" s="2" t="inlineStr">
        <is>
          <t>13468088244</t>
        </is>
      </c>
      <c r="G14" s="2" t="inlineStr">
        <is>
          <t>400m Serbest</t>
        </is>
      </c>
      <c r="H14" s="2" t="inlineStr">
        <is>
          <t>4:39.12</t>
        </is>
      </c>
      <c r="I14" s="2" t="inlineStr">
        <is>
          <t>1500m Serbest</t>
        </is>
      </c>
      <c r="J14" s="2" t="inlineStr">
        <is>
          <t>18:35.05</t>
        </is>
      </c>
      <c r="K14" s="2" t="inlineStr">
        <is>
          <t>800m Serbest</t>
        </is>
      </c>
      <c r="L14" s="2" t="inlineStr">
        <is>
          <t>9:38.35</t>
        </is>
      </c>
      <c r="M14" s="2" t="inlineStr">
        <is>
          <t>200m Karışık</t>
        </is>
      </c>
      <c r="N14" s="2" t="inlineStr">
        <is>
          <t>2:36.45</t>
        </is>
      </c>
      <c r="P14" t="inlineStr">
        <is>
          <t>Nesibe Aydın Spor Kulübü</t>
        </is>
      </c>
      <c r="Q14" t="inlineStr">
        <is>
          <t>Ankara</t>
        </is>
      </c>
      <c r="R14">
        <f>Q14=B14</f>
        <v/>
      </c>
      <c r="T14">
        <f>MATCH(D14,[1]Manual!$A:$A,0)</f>
        <v/>
      </c>
    </row>
    <row r="15" ht="15.95" customHeight="1">
      <c r="A15" s="4" t="n">
        <v>14</v>
      </c>
      <c r="B15" s="4" t="inlineStr">
        <is>
          <t>Ankara</t>
        </is>
      </c>
      <c r="C15" s="5" t="inlineStr">
        <is>
          <t>Erkek</t>
        </is>
      </c>
      <c r="D15" s="5" t="inlineStr">
        <is>
          <t>Doruk Efe DONBAYCI</t>
        </is>
      </c>
      <c r="E15" s="4" t="inlineStr">
        <is>
          <t>12</t>
        </is>
      </c>
      <c r="F15" s="4" t="inlineStr">
        <is>
          <t>51292535957</t>
        </is>
      </c>
      <c r="G15" s="4" t="inlineStr">
        <is>
          <t>50m Serbest</t>
        </is>
      </c>
      <c r="H15" s="4" t="inlineStr">
        <is>
          <t>24.97</t>
        </is>
      </c>
      <c r="I15" s="4" t="inlineStr">
        <is>
          <t>200m Serbest</t>
        </is>
      </c>
      <c r="J15" s="4" t="inlineStr">
        <is>
          <t>1:59.96</t>
        </is>
      </c>
      <c r="K15" s="4" t="inlineStr">
        <is>
          <t>100m Serbest</t>
        </is>
      </c>
      <c r="L15" s="4" t="inlineStr">
        <is>
          <t>55.75</t>
        </is>
      </c>
      <c r="M15" s="4" t="inlineStr">
        <is>
          <t>50m Kelebek</t>
        </is>
      </c>
      <c r="N15" s="4" t="inlineStr">
        <is>
          <t>26.88</t>
        </is>
      </c>
      <c r="P15" s="12" t="inlineStr">
        <is>
          <t>Aykon Spor Kulübü</t>
        </is>
      </c>
      <c r="Q15" s="12" t="inlineStr">
        <is>
          <t>Ankara</t>
        </is>
      </c>
      <c r="R15">
        <f>Q15=B15</f>
        <v/>
      </c>
      <c r="T15">
        <f>MATCH(D15,[1]Manual!$A:$A,0)</f>
        <v/>
      </c>
    </row>
    <row r="16" ht="15.95" customHeight="1">
      <c r="A16" s="2" t="n">
        <v>15</v>
      </c>
      <c r="B16" s="2" t="inlineStr">
        <is>
          <t>Ankara</t>
        </is>
      </c>
      <c r="C16" s="3" t="inlineStr">
        <is>
          <t>Erkek</t>
        </is>
      </c>
      <c r="D16" s="3" t="inlineStr">
        <is>
          <t>Efe AĞABABAOĞLU</t>
        </is>
      </c>
      <c r="E16" s="2" t="inlineStr">
        <is>
          <t>13</t>
        </is>
      </c>
      <c r="F16" s="2" t="inlineStr">
        <is>
          <t>13150095315</t>
        </is>
      </c>
      <c r="G16" s="2" t="inlineStr">
        <is>
          <t>100m Serbest</t>
        </is>
      </c>
      <c r="H16" s="2" t="inlineStr">
        <is>
          <t>1:00.83</t>
        </is>
      </c>
      <c r="I16" s="2" t="inlineStr">
        <is>
          <t>400m Serbest</t>
        </is>
      </c>
      <c r="J16" s="2" t="inlineStr">
        <is>
          <t>4:33.86</t>
        </is>
      </c>
      <c r="K16" s="2" t="inlineStr">
        <is>
          <t>200m Serbest</t>
        </is>
      </c>
      <c r="L16" s="2" t="inlineStr">
        <is>
          <t>2:10.69</t>
        </is>
      </c>
      <c r="M16" s="2" t="inlineStr">
        <is>
          <t>200m Kelebek</t>
        </is>
      </c>
      <c r="N16" s="2" t="inlineStr">
        <is>
          <t>2:28.31</t>
        </is>
      </c>
      <c r="P16" t="inlineStr">
        <is>
          <t>Vamos Spor Kulübü</t>
        </is>
      </c>
      <c r="Q16" t="inlineStr">
        <is>
          <t>Ankara</t>
        </is>
      </c>
      <c r="R16">
        <f>Q16=B16</f>
        <v/>
      </c>
      <c r="T16">
        <f>MATCH(D16,[1]Manual!$A:$A,0)</f>
        <v/>
      </c>
    </row>
    <row r="17" ht="15.95" customHeight="1">
      <c r="A17" s="4" t="n">
        <v>16</v>
      </c>
      <c r="B17" s="4" t="inlineStr">
        <is>
          <t>Ankara</t>
        </is>
      </c>
      <c r="C17" s="5" t="inlineStr">
        <is>
          <t>Erkek</t>
        </is>
      </c>
      <c r="D17" s="5" t="inlineStr">
        <is>
          <t>Efe KOÇ</t>
        </is>
      </c>
      <c r="E17" s="4" t="inlineStr">
        <is>
          <t>13</t>
        </is>
      </c>
      <c r="F17" s="4" t="inlineStr">
        <is>
          <t>18583061125</t>
        </is>
      </c>
      <c r="G17" s="4" t="inlineStr">
        <is>
          <t>200m Serbest</t>
        </is>
      </c>
      <c r="H17" s="4" t="inlineStr">
        <is>
          <t>2:20.48</t>
        </is>
      </c>
      <c r="I17" s="4" t="inlineStr">
        <is>
          <t>800m Serbest</t>
        </is>
      </c>
      <c r="J17" s="4" t="inlineStr">
        <is>
          <t>9:40.50</t>
        </is>
      </c>
      <c r="K17" s="4" t="inlineStr">
        <is>
          <t>400m Serbest</t>
        </is>
      </c>
      <c r="L17" s="4" t="inlineStr">
        <is>
          <t>4:45.72</t>
        </is>
      </c>
      <c r="M17" s="4" t="inlineStr">
        <is>
          <t>200m Karışık</t>
        </is>
      </c>
      <c r="N17" s="4" t="inlineStr">
        <is>
          <t>2:36.43</t>
        </is>
      </c>
      <c r="P17" t="inlineStr">
        <is>
          <t>Gordion Spor Kulübü</t>
        </is>
      </c>
      <c r="Q17" t="inlineStr">
        <is>
          <t>Ankara</t>
        </is>
      </c>
      <c r="R17">
        <f>Q17=B17</f>
        <v/>
      </c>
      <c r="T17">
        <f>MATCH(D17,[1]Manual!$A:$A,0)</f>
        <v/>
      </c>
    </row>
    <row r="18" ht="15.95" customHeight="1">
      <c r="A18" s="2" t="n">
        <v>17</v>
      </c>
      <c r="B18" s="2" t="inlineStr">
        <is>
          <t>Ankara</t>
        </is>
      </c>
      <c r="C18" s="3" t="inlineStr">
        <is>
          <t>Erkek</t>
        </is>
      </c>
      <c r="D18" s="3" t="inlineStr">
        <is>
          <t>Erdem AVENOĞLU</t>
        </is>
      </c>
      <c r="E18" s="2" t="inlineStr">
        <is>
          <t>12</t>
        </is>
      </c>
      <c r="F18" s="2" t="inlineStr">
        <is>
          <t>15505164554</t>
        </is>
      </c>
      <c r="G18" s="2" t="inlineStr">
        <is>
          <t>50m Kurbağalama</t>
        </is>
      </c>
      <c r="H18" s="2" t="inlineStr">
        <is>
          <t>34.00</t>
        </is>
      </c>
      <c r="I18" s="2" t="inlineStr">
        <is>
          <t>50m Kelebek</t>
        </is>
      </c>
      <c r="J18" s="2" t="inlineStr">
        <is>
          <t>29.09</t>
        </is>
      </c>
      <c r="K18" s="2" t="inlineStr">
        <is>
          <t>100m Kurbağalama</t>
        </is>
      </c>
      <c r="L18" s="2" t="inlineStr">
        <is>
          <t>1:13.51</t>
        </is>
      </c>
      <c r="M18" s="2" t="inlineStr">
        <is>
          <t>200m Karışık</t>
        </is>
      </c>
      <c r="N18" s="2" t="inlineStr">
        <is>
          <t>2:24.22</t>
        </is>
      </c>
      <c r="P18" t="inlineStr">
        <is>
          <t>Vamos Spor Kulübü</t>
        </is>
      </c>
      <c r="Q18" t="inlineStr">
        <is>
          <t>Ankara</t>
        </is>
      </c>
      <c r="R18">
        <f>Q18=B18</f>
        <v/>
      </c>
      <c r="T18">
        <f>MATCH(D18,[1]Manual!$A:$A,0)</f>
        <v/>
      </c>
    </row>
    <row r="19" ht="15.95" customHeight="1">
      <c r="A19" s="4" t="n">
        <v>18</v>
      </c>
      <c r="B19" s="4" t="inlineStr">
        <is>
          <t>Ankara</t>
        </is>
      </c>
      <c r="C19" s="5" t="inlineStr">
        <is>
          <t>Erkek</t>
        </is>
      </c>
      <c r="D19" s="5" t="inlineStr">
        <is>
          <t>Erhan Efe DÖNMEZ</t>
        </is>
      </c>
      <c r="E19" s="4" t="inlineStr">
        <is>
          <t>11</t>
        </is>
      </c>
      <c r="F19" s="4" t="inlineStr">
        <is>
          <t>15475015729</t>
        </is>
      </c>
      <c r="G19" s="4" t="inlineStr">
        <is>
          <t>200m Serbest</t>
        </is>
      </c>
      <c r="H19" s="4" t="inlineStr">
        <is>
          <t>2:04.00</t>
        </is>
      </c>
      <c r="I19" s="4" t="inlineStr">
        <is>
          <t>100m Kelebek</t>
        </is>
      </c>
      <c r="J19" s="4" t="inlineStr">
        <is>
          <t>59.19</t>
        </is>
      </c>
      <c r="K19" s="4" t="inlineStr">
        <is>
          <t>50m Kelebek</t>
        </is>
      </c>
      <c r="L19" s="4" t="inlineStr">
        <is>
          <t>27.68</t>
        </is>
      </c>
      <c r="M19" s="4" t="inlineStr">
        <is>
          <t>200m Kelebek</t>
        </is>
      </c>
      <c r="N19" s="4" t="inlineStr">
        <is>
          <t>2:14.03</t>
        </is>
      </c>
      <c r="P19" t="inlineStr">
        <is>
          <t>Vamos Spor Kulübü</t>
        </is>
      </c>
      <c r="Q19" t="inlineStr">
        <is>
          <t>Ankara</t>
        </is>
      </c>
      <c r="R19">
        <f>Q19=B19</f>
        <v/>
      </c>
      <c r="T19">
        <f>MATCH(D19,[1]Manual!$A:$A,0)</f>
        <v/>
      </c>
    </row>
    <row r="20" ht="15.95" customHeight="1">
      <c r="A20" s="2" t="n">
        <v>19</v>
      </c>
      <c r="B20" s="2" t="inlineStr">
        <is>
          <t>Ankara</t>
        </is>
      </c>
      <c r="C20" s="3" t="inlineStr">
        <is>
          <t>Erkek</t>
        </is>
      </c>
      <c r="D20" s="3" t="inlineStr">
        <is>
          <t>Eymen AKAR</t>
        </is>
      </c>
      <c r="E20" s="2" t="inlineStr">
        <is>
          <t>12</t>
        </is>
      </c>
      <c r="F20" s="2" t="inlineStr">
        <is>
          <t>19316024953</t>
        </is>
      </c>
      <c r="G20" s="2" t="inlineStr">
        <is>
          <t>50m Kurbağalama</t>
        </is>
      </c>
      <c r="H20" s="2" t="inlineStr">
        <is>
          <t>34.01</t>
        </is>
      </c>
      <c r="I20" s="2" t="inlineStr">
        <is>
          <t>200m Kurbağalama</t>
        </is>
      </c>
      <c r="J20" s="2" t="inlineStr">
        <is>
          <t>2:39.63</t>
        </is>
      </c>
      <c r="K20" s="2" t="inlineStr">
        <is>
          <t>100m Kurbağalama</t>
        </is>
      </c>
      <c r="L20" s="2" t="inlineStr">
        <is>
          <t>1:13.28</t>
        </is>
      </c>
      <c r="M20" s="2" t="n"/>
      <c r="N20" s="2" t="inlineStr">
        <is>
          <t>NT</t>
        </is>
      </c>
      <c r="P20" t="inlineStr">
        <is>
          <t>Vamos Spor Kulübü</t>
        </is>
      </c>
      <c r="Q20" t="inlineStr">
        <is>
          <t>Ankara</t>
        </is>
      </c>
      <c r="R20">
        <f>Q20=B20</f>
        <v/>
      </c>
      <c r="T20">
        <f>MATCH(D20,[1]Manual!$A:$A,0)</f>
        <v/>
      </c>
    </row>
    <row r="21" ht="15.95" customHeight="1">
      <c r="A21" s="4" t="n">
        <v>20</v>
      </c>
      <c r="B21" s="4" t="inlineStr">
        <is>
          <t>Ankara</t>
        </is>
      </c>
      <c r="C21" s="5" t="inlineStr">
        <is>
          <t>Erkek</t>
        </is>
      </c>
      <c r="D21" s="5" t="inlineStr">
        <is>
          <t>İsmail Engin AKDOĞAN</t>
        </is>
      </c>
      <c r="E21" s="4" t="inlineStr">
        <is>
          <t>12</t>
        </is>
      </c>
      <c r="F21" s="4" t="inlineStr">
        <is>
          <t>12221120057</t>
        </is>
      </c>
      <c r="G21" s="4" t="inlineStr">
        <is>
          <t>50m Serbest</t>
        </is>
      </c>
      <c r="H21" s="4" t="inlineStr">
        <is>
          <t>25.90</t>
        </is>
      </c>
      <c r="I21" s="4" t="inlineStr">
        <is>
          <t>200m Serbest</t>
        </is>
      </c>
      <c r="J21" s="4" t="inlineStr">
        <is>
          <t>2:04.56</t>
        </is>
      </c>
      <c r="K21" s="4" t="inlineStr">
        <is>
          <t>100m Serbest</t>
        </is>
      </c>
      <c r="L21" s="4" t="inlineStr">
        <is>
          <t>56.07</t>
        </is>
      </c>
      <c r="M21" s="4" t="inlineStr">
        <is>
          <t>50m Sırtüstü</t>
        </is>
      </c>
      <c r="N21" s="4" t="inlineStr">
        <is>
          <t>32.65</t>
        </is>
      </c>
      <c r="P21" s="6" t="inlineStr">
        <is>
          <t>Orka Swim Team Spor Kulübü</t>
        </is>
      </c>
      <c r="Q21" s="6" t="inlineStr">
        <is>
          <t>Ankara</t>
        </is>
      </c>
      <c r="R21">
        <f>Q21=B21</f>
        <v/>
      </c>
      <c r="T21">
        <f>MATCH(D21,[1]Manual!$A:$A,0)</f>
        <v/>
      </c>
    </row>
    <row r="22" ht="15.95" customHeight="1">
      <c r="A22" s="2" t="n">
        <v>21</v>
      </c>
      <c r="B22" s="2" t="inlineStr">
        <is>
          <t>Ankara</t>
        </is>
      </c>
      <c r="C22" s="3" t="inlineStr">
        <is>
          <t>Erkek</t>
        </is>
      </c>
      <c r="D22" s="3" t="inlineStr">
        <is>
          <t>Kaan CEYLAN</t>
        </is>
      </c>
      <c r="E22" s="2" t="inlineStr">
        <is>
          <t>14</t>
        </is>
      </c>
      <c r="F22" s="2" t="inlineStr">
        <is>
          <t>70759198846</t>
        </is>
      </c>
      <c r="G22" s="2" t="inlineStr">
        <is>
          <t>400m Serbest</t>
        </is>
      </c>
      <c r="H22" s="2" t="inlineStr">
        <is>
          <t>5:05.53</t>
        </is>
      </c>
      <c r="I22" s="2" t="inlineStr">
        <is>
          <t>1500m Serbest</t>
        </is>
      </c>
      <c r="J22" s="2" t="inlineStr">
        <is>
          <t>19:38.90</t>
        </is>
      </c>
      <c r="K22" s="2" t="inlineStr">
        <is>
          <t>800m Serbest</t>
        </is>
      </c>
      <c r="L22" s="2" t="inlineStr">
        <is>
          <t>10:16.72</t>
        </is>
      </c>
      <c r="M22" s="2" t="inlineStr">
        <is>
          <t>200m Karışık</t>
        </is>
      </c>
      <c r="N22" s="2" t="inlineStr">
        <is>
          <t>2:51.77</t>
        </is>
      </c>
      <c r="P22" t="inlineStr">
        <is>
          <t>Nesibe Aydın Spor Kulübü</t>
        </is>
      </c>
      <c r="Q22" t="inlineStr">
        <is>
          <t>Ankara</t>
        </is>
      </c>
      <c r="R22">
        <f>Q22=B22</f>
        <v/>
      </c>
      <c r="T22">
        <f>MATCH(D22,[1]Manual!$A:$A,0)</f>
        <v/>
      </c>
    </row>
    <row r="23" ht="15.95" customHeight="1">
      <c r="A23" s="4" t="n">
        <v>22</v>
      </c>
      <c r="B23" s="4" t="inlineStr">
        <is>
          <t>Ankara</t>
        </is>
      </c>
      <c r="C23" s="5" t="inlineStr">
        <is>
          <t>Erkek</t>
        </is>
      </c>
      <c r="D23" s="5" t="inlineStr">
        <is>
          <t>Kerem YAVUZ</t>
        </is>
      </c>
      <c r="E23" s="4" t="inlineStr">
        <is>
          <t>12</t>
        </is>
      </c>
      <c r="F23" s="4" t="inlineStr">
        <is>
          <t>14395053256</t>
        </is>
      </c>
      <c r="G23" s="4" t="inlineStr">
        <is>
          <t>50m Serbest</t>
        </is>
      </c>
      <c r="H23" s="4" t="inlineStr">
        <is>
          <t>25.88</t>
        </is>
      </c>
      <c r="I23" s="4" t="inlineStr">
        <is>
          <t>200m Serbest</t>
        </is>
      </c>
      <c r="J23" s="4" t="inlineStr">
        <is>
          <t>2:06.95</t>
        </is>
      </c>
      <c r="K23" s="4" t="inlineStr">
        <is>
          <t>100m Serbest</t>
        </is>
      </c>
      <c r="L23" s="4" t="inlineStr">
        <is>
          <t>57.23</t>
        </is>
      </c>
      <c r="M23" s="4" t="inlineStr">
        <is>
          <t>50m Sırtüstü</t>
        </is>
      </c>
      <c r="N23" s="4" t="inlineStr">
        <is>
          <t>30.41</t>
        </is>
      </c>
      <c r="P23" t="inlineStr">
        <is>
          <t>Nesibe Aydın Spor Kulübü</t>
        </is>
      </c>
      <c r="Q23" t="inlineStr">
        <is>
          <t>Ankara</t>
        </is>
      </c>
      <c r="R23">
        <f>Q23=B23</f>
        <v/>
      </c>
      <c r="T23">
        <f>MATCH(D23,[1]Manual!$A:$A,0)</f>
        <v/>
      </c>
    </row>
    <row r="24" ht="15.95" customHeight="1">
      <c r="A24" s="2" t="n">
        <v>23</v>
      </c>
      <c r="B24" s="2" t="inlineStr">
        <is>
          <t>Ankara</t>
        </is>
      </c>
      <c r="C24" s="3" t="inlineStr">
        <is>
          <t>Erkek</t>
        </is>
      </c>
      <c r="D24" s="3" t="inlineStr">
        <is>
          <t>Koray GÜNDÜZ</t>
        </is>
      </c>
      <c r="E24" s="2" t="inlineStr">
        <is>
          <t>13</t>
        </is>
      </c>
      <c r="F24" s="2" t="inlineStr">
        <is>
          <t>19747022987</t>
        </is>
      </c>
      <c r="G24" s="2" t="inlineStr">
        <is>
          <t>800m Serbest</t>
        </is>
      </c>
      <c r="H24" s="2" t="inlineStr">
        <is>
          <t>9:37.07</t>
        </is>
      </c>
      <c r="I24" s="2" t="inlineStr">
        <is>
          <t>200m Kelebek</t>
        </is>
      </c>
      <c r="J24" s="2" t="inlineStr">
        <is>
          <t>2:20.47</t>
        </is>
      </c>
      <c r="K24" s="2" t="inlineStr">
        <is>
          <t>100m Kelebek</t>
        </is>
      </c>
      <c r="L24" s="2" t="inlineStr">
        <is>
          <t>1:04.68</t>
        </is>
      </c>
      <c r="M24" s="2" t="inlineStr">
        <is>
          <t>400m Karışık</t>
        </is>
      </c>
      <c r="N24" s="2" t="inlineStr">
        <is>
          <t>5:13.69</t>
        </is>
      </c>
      <c r="P24" t="inlineStr">
        <is>
          <t>Vamos Spor Kulübü</t>
        </is>
      </c>
      <c r="Q24" t="inlineStr">
        <is>
          <t>Ankara</t>
        </is>
      </c>
      <c r="R24">
        <f>Q24=B24</f>
        <v/>
      </c>
      <c r="T24">
        <f>MATCH(D24,[1]Manual!$A:$A,0)</f>
        <v/>
      </c>
    </row>
    <row r="25" ht="15.95" customHeight="1">
      <c r="A25" s="4" t="n">
        <v>24</v>
      </c>
      <c r="B25" s="4" t="inlineStr">
        <is>
          <t>Ankara</t>
        </is>
      </c>
      <c r="C25" s="5" t="inlineStr">
        <is>
          <t>Erkek</t>
        </is>
      </c>
      <c r="D25" s="5" t="inlineStr">
        <is>
          <t>Kutay BOYAR</t>
        </is>
      </c>
      <c r="E25" s="4" t="inlineStr">
        <is>
          <t>14</t>
        </is>
      </c>
      <c r="F25" s="4" t="inlineStr">
        <is>
          <t>68581271412</t>
        </is>
      </c>
      <c r="G25" s="4" t="inlineStr">
        <is>
          <t>100m Serbest</t>
        </is>
      </c>
      <c r="H25" s="4" t="inlineStr">
        <is>
          <t>1:07.71</t>
        </is>
      </c>
      <c r="I25" s="4" t="inlineStr">
        <is>
          <t>200m Kelebek</t>
        </is>
      </c>
      <c r="J25" s="4" t="inlineStr">
        <is>
          <t>NT</t>
        </is>
      </c>
      <c r="K25" s="4" t="inlineStr">
        <is>
          <t>100m Kelebek</t>
        </is>
      </c>
      <c r="L25" s="4" t="inlineStr">
        <is>
          <t>1:10.20</t>
        </is>
      </c>
      <c r="M25" s="4" t="inlineStr">
        <is>
          <t>200m Karışık</t>
        </is>
      </c>
      <c r="N25" s="4" t="inlineStr">
        <is>
          <t>2:44.26</t>
        </is>
      </c>
      <c r="P25" t="inlineStr">
        <is>
          <t>Baskent Cankaya Spor Kulübü</t>
        </is>
      </c>
      <c r="Q25" t="inlineStr">
        <is>
          <t>Ankara</t>
        </is>
      </c>
      <c r="R25">
        <f>Q25=B25</f>
        <v/>
      </c>
      <c r="T25">
        <f>MATCH(D25,[1]Manual!$A:$A,0)</f>
        <v/>
      </c>
    </row>
    <row r="26" ht="15.95" customHeight="1">
      <c r="A26" s="2" t="n">
        <v>25</v>
      </c>
      <c r="B26" s="2" t="inlineStr">
        <is>
          <t>Ankara</t>
        </is>
      </c>
      <c r="C26" s="3" t="inlineStr">
        <is>
          <t>Erkek</t>
        </is>
      </c>
      <c r="D26" s="3" t="inlineStr">
        <is>
          <t>Mert KONUKBAY</t>
        </is>
      </c>
      <c r="E26" s="2" t="inlineStr">
        <is>
          <t>14</t>
        </is>
      </c>
      <c r="F26" s="2" t="inlineStr">
        <is>
          <t>11290160818</t>
        </is>
      </c>
      <c r="G26" s="2" t="inlineStr">
        <is>
          <t>100m Serbest</t>
        </is>
      </c>
      <c r="H26" s="2" t="inlineStr">
        <is>
          <t>1:04.18</t>
        </is>
      </c>
      <c r="I26" s="2" t="inlineStr">
        <is>
          <t>800m Serbest</t>
        </is>
      </c>
      <c r="J26" s="2" t="inlineStr">
        <is>
          <t>10:44.23</t>
        </is>
      </c>
      <c r="K26" s="2" t="inlineStr">
        <is>
          <t>200m Serbest</t>
        </is>
      </c>
      <c r="L26" s="2" t="inlineStr">
        <is>
          <t>2:20.27</t>
        </is>
      </c>
      <c r="M26" s="2" t="inlineStr">
        <is>
          <t>100m Kelebek</t>
        </is>
      </c>
      <c r="N26" s="2" t="inlineStr">
        <is>
          <t>1:11.85</t>
        </is>
      </c>
      <c r="P26" t="inlineStr">
        <is>
          <t>Ted Ankara Kolejliler Spor Kulübü</t>
        </is>
      </c>
      <c r="Q26" t="inlineStr">
        <is>
          <t>Ankara</t>
        </is>
      </c>
      <c r="R26">
        <f>Q26=B26</f>
        <v/>
      </c>
      <c r="T26">
        <f>MATCH(D26,[1]Manual!$A:$A,0)</f>
        <v/>
      </c>
    </row>
    <row r="27" ht="15.95" customHeight="1">
      <c r="A27" s="4" t="n">
        <v>26</v>
      </c>
      <c r="B27" s="4" t="inlineStr">
        <is>
          <t>Ankara</t>
        </is>
      </c>
      <c r="C27" s="5" t="inlineStr">
        <is>
          <t>Erkek</t>
        </is>
      </c>
      <c r="D27" s="5" t="inlineStr">
        <is>
          <t>Pamir Çağan ÖZTÜRK</t>
        </is>
      </c>
      <c r="E27" s="4" t="inlineStr">
        <is>
          <t>14</t>
        </is>
      </c>
      <c r="F27" s="4" t="inlineStr">
        <is>
          <t>12307122327</t>
        </is>
      </c>
      <c r="G27" s="4" t="inlineStr">
        <is>
          <t>200m Serbest</t>
        </is>
      </c>
      <c r="H27" s="4" t="inlineStr">
        <is>
          <t>2:18.74</t>
        </is>
      </c>
      <c r="I27" s="4" t="inlineStr">
        <is>
          <t>800m Serbest</t>
        </is>
      </c>
      <c r="J27" s="4" t="inlineStr">
        <is>
          <t>10:31.58</t>
        </is>
      </c>
      <c r="K27" s="4" t="inlineStr">
        <is>
          <t>400m Serbest</t>
        </is>
      </c>
      <c r="L27" s="4" t="inlineStr">
        <is>
          <t>4:56.90</t>
        </is>
      </c>
      <c r="M27" s="4" t="inlineStr">
        <is>
          <t>1500m Serbest</t>
        </is>
      </c>
      <c r="N27" s="4" t="inlineStr">
        <is>
          <t>20:22.86</t>
        </is>
      </c>
      <c r="P27" t="inlineStr">
        <is>
          <t>Ted Ankara Kolejliler Spor Kulübü</t>
        </is>
      </c>
      <c r="Q27" t="inlineStr">
        <is>
          <t>Ankara</t>
        </is>
      </c>
      <c r="R27">
        <f>Q27=B27</f>
        <v/>
      </c>
      <c r="T27">
        <f>MATCH(D27,[1]Manual!$A:$A,0)</f>
        <v/>
      </c>
    </row>
    <row r="28" ht="15.95" customHeight="1">
      <c r="A28" s="2" t="n">
        <v>27</v>
      </c>
      <c r="B28" s="2" t="inlineStr">
        <is>
          <t>Ankara</t>
        </is>
      </c>
      <c r="C28" s="3" t="inlineStr">
        <is>
          <t>Erkek</t>
        </is>
      </c>
      <c r="D28" s="3" t="inlineStr">
        <is>
          <t>Rüzgar Armin ATİK</t>
        </is>
      </c>
      <c r="E28" s="2" t="inlineStr">
        <is>
          <t>14</t>
        </is>
      </c>
      <c r="F28" s="2" t="inlineStr">
        <is>
          <t>15130175912</t>
        </is>
      </c>
      <c r="G28" s="2" t="inlineStr">
        <is>
          <t>100m Serbest</t>
        </is>
      </c>
      <c r="H28" s="2" t="inlineStr">
        <is>
          <t>1:04.59</t>
        </is>
      </c>
      <c r="I28" s="2" t="inlineStr">
        <is>
          <t>200m Sırtüstü</t>
        </is>
      </c>
      <c r="J28" s="2" t="inlineStr">
        <is>
          <t>2:30.58</t>
        </is>
      </c>
      <c r="K28" s="2" t="inlineStr">
        <is>
          <t>100m Sırtüstü</t>
        </is>
      </c>
      <c r="L28" s="2" t="inlineStr">
        <is>
          <t>1:10.18</t>
        </is>
      </c>
      <c r="M28" s="2" t="inlineStr">
        <is>
          <t>100m Kelebek</t>
        </is>
      </c>
      <c r="N28" s="2" t="inlineStr">
        <is>
          <t>1:12.57</t>
        </is>
      </c>
      <c r="P28" t="inlineStr">
        <is>
          <t>Ted Ankara Kolejliler Spor Kulübü</t>
        </is>
      </c>
      <c r="Q28" t="inlineStr">
        <is>
          <t>Ankara</t>
        </is>
      </c>
      <c r="R28">
        <f>Q28=B28</f>
        <v/>
      </c>
      <c r="T28">
        <f>MATCH(D28,[1]Manual!$A:$A,0)</f>
        <v/>
      </c>
    </row>
    <row r="29" ht="15.95" customHeight="1">
      <c r="A29" s="4" t="n">
        <v>28</v>
      </c>
      <c r="B29" s="4" t="inlineStr">
        <is>
          <t>Ankara</t>
        </is>
      </c>
      <c r="C29" s="5" t="inlineStr">
        <is>
          <t>Erkek</t>
        </is>
      </c>
      <c r="D29" s="5" t="inlineStr">
        <is>
          <t>Rüzgar Buyruk</t>
        </is>
      </c>
      <c r="E29" s="4" t="inlineStr">
        <is>
          <t>13</t>
        </is>
      </c>
      <c r="F29" s="4" t="inlineStr">
        <is>
          <t>16012148344</t>
        </is>
      </c>
      <c r="G29" s="4" t="inlineStr">
        <is>
          <t>400m Serbest</t>
        </is>
      </c>
      <c r="H29" s="4" t="inlineStr">
        <is>
          <t>4:47.81</t>
        </is>
      </c>
      <c r="I29" s="4" t="inlineStr">
        <is>
          <t>1500m Serbest</t>
        </is>
      </c>
      <c r="J29" s="4" t="inlineStr">
        <is>
          <t>18:26.25</t>
        </is>
      </c>
      <c r="K29" s="4" t="inlineStr">
        <is>
          <t>800m Serbest</t>
        </is>
      </c>
      <c r="L29" s="4" t="inlineStr">
        <is>
          <t>9:51.66</t>
        </is>
      </c>
      <c r="M29" s="4" t="inlineStr">
        <is>
          <t>200m Karışık</t>
        </is>
      </c>
      <c r="N29" s="4" t="inlineStr">
        <is>
          <t>2:40.39</t>
        </is>
      </c>
      <c r="P29" t="inlineStr">
        <is>
          <t>Orka Swim Team Spor Kulübü</t>
        </is>
      </c>
      <c r="Q29" t="inlineStr">
        <is>
          <t>Ankara</t>
        </is>
      </c>
      <c r="R29">
        <f>Q29=B29</f>
        <v/>
      </c>
      <c r="T29">
        <f>MATCH(D29,[1]Manual!$A:$A,0)</f>
        <v/>
      </c>
    </row>
    <row r="30" ht="15.95" customHeight="1">
      <c r="A30" s="2" t="n">
        <v>29</v>
      </c>
      <c r="B30" s="2" t="inlineStr">
        <is>
          <t>Ankara</t>
        </is>
      </c>
      <c r="C30" s="3" t="inlineStr">
        <is>
          <t>Erkek</t>
        </is>
      </c>
      <c r="D30" s="3" t="inlineStr">
        <is>
          <t>Serkan Yiğit CÖMERT</t>
        </is>
      </c>
      <c r="E30" s="2" t="inlineStr">
        <is>
          <t>11</t>
        </is>
      </c>
      <c r="F30" s="2" t="inlineStr">
        <is>
          <t>14287206157</t>
        </is>
      </c>
      <c r="G30" s="2" t="inlineStr">
        <is>
          <t>50m Serbest</t>
        </is>
      </c>
      <c r="H30" s="2" t="inlineStr">
        <is>
          <t>24.66</t>
        </is>
      </c>
      <c r="I30" s="2" t="inlineStr">
        <is>
          <t>50m Sırtüstü</t>
        </is>
      </c>
      <c r="J30" s="2" t="inlineStr">
        <is>
          <t>29.41</t>
        </is>
      </c>
      <c r="K30" s="2" t="inlineStr">
        <is>
          <t>100m Serbest</t>
        </is>
      </c>
      <c r="L30" s="2" t="inlineStr">
        <is>
          <t>55.34</t>
        </is>
      </c>
      <c r="M30" s="2" t="inlineStr">
        <is>
          <t>100m Sırtüstü</t>
        </is>
      </c>
      <c r="N30" s="2" t="inlineStr">
        <is>
          <t>1:03.93</t>
        </is>
      </c>
      <c r="P30" t="inlineStr">
        <is>
          <t>Vamos Spor Kulübü</t>
        </is>
      </c>
      <c r="Q30" t="inlineStr">
        <is>
          <t>Ankara</t>
        </is>
      </c>
      <c r="R30">
        <f>Q30=B30</f>
        <v/>
      </c>
      <c r="T30">
        <f>MATCH(D30,[1]Manual!$A:$A,0)</f>
        <v/>
      </c>
    </row>
    <row r="31" ht="15.95" customHeight="1">
      <c r="A31" s="4" t="n">
        <v>30</v>
      </c>
      <c r="B31" s="4" t="inlineStr">
        <is>
          <t>Ankara</t>
        </is>
      </c>
      <c r="C31" s="5" t="inlineStr">
        <is>
          <t>Erkek</t>
        </is>
      </c>
      <c r="D31" s="5" t="inlineStr">
        <is>
          <t>Tahir Ömer AKAR</t>
        </is>
      </c>
      <c r="E31" s="4" t="inlineStr">
        <is>
          <t>13</t>
        </is>
      </c>
      <c r="F31" s="4" t="inlineStr">
        <is>
          <t>11491156147</t>
        </is>
      </c>
      <c r="G31" s="4" t="inlineStr">
        <is>
          <t>400m Serbest</t>
        </is>
      </c>
      <c r="H31" s="4" t="inlineStr">
        <is>
          <t>4:32.98</t>
        </is>
      </c>
      <c r="I31" s="4" t="inlineStr">
        <is>
          <t>1500m Serbest</t>
        </is>
      </c>
      <c r="J31" s="4" t="inlineStr">
        <is>
          <t>17:39.91</t>
        </is>
      </c>
      <c r="K31" s="4" t="inlineStr">
        <is>
          <t>800m Serbest</t>
        </is>
      </c>
      <c r="L31" s="4" t="inlineStr">
        <is>
          <t>9:17.08</t>
        </is>
      </c>
      <c r="M31" s="4" t="inlineStr">
        <is>
          <t>200m Karışık</t>
        </is>
      </c>
      <c r="N31" s="4" t="inlineStr">
        <is>
          <t>2:33.56</t>
        </is>
      </c>
      <c r="P31" t="inlineStr">
        <is>
          <t>Orka Swim Team Spor Kulübü</t>
        </is>
      </c>
      <c r="Q31" t="inlineStr">
        <is>
          <t>Ankara</t>
        </is>
      </c>
      <c r="R31">
        <f>Q31=B31</f>
        <v/>
      </c>
      <c r="T31">
        <f>MATCH(D31,[1]Manual!$A:$A,0)</f>
        <v/>
      </c>
    </row>
    <row r="32" ht="15.95" customHeight="1">
      <c r="A32" s="2" t="n">
        <v>31</v>
      </c>
      <c r="B32" s="2" t="inlineStr">
        <is>
          <t>Ankara</t>
        </is>
      </c>
      <c r="C32" s="3" t="inlineStr">
        <is>
          <t>Erkek</t>
        </is>
      </c>
      <c r="D32" s="3" t="inlineStr">
        <is>
          <t>Tan ÇAKIROĞLU</t>
        </is>
      </c>
      <c r="E32" s="2" t="inlineStr">
        <is>
          <t>12</t>
        </is>
      </c>
      <c r="F32" s="2" t="inlineStr">
        <is>
          <t>14677084253</t>
        </is>
      </c>
      <c r="G32" s="2" t="inlineStr">
        <is>
          <t>50m Sırtüstü</t>
        </is>
      </c>
      <c r="H32" s="2" t="inlineStr">
        <is>
          <t>29.57</t>
        </is>
      </c>
      <c r="I32" s="2" t="inlineStr">
        <is>
          <t>200m Sırtüstü</t>
        </is>
      </c>
      <c r="J32" s="2" t="inlineStr">
        <is>
          <t>2:17.40</t>
        </is>
      </c>
      <c r="K32" s="2" t="inlineStr">
        <is>
          <t>100m Sırtüstü</t>
        </is>
      </c>
      <c r="L32" s="2" t="inlineStr">
        <is>
          <t>1:03.93</t>
        </is>
      </c>
      <c r="M32" s="2" t="inlineStr">
        <is>
          <t>100m Kelebek</t>
        </is>
      </c>
      <c r="N32" s="2" t="inlineStr">
        <is>
          <t>1:04.94</t>
        </is>
      </c>
      <c r="P32" s="12" t="inlineStr">
        <is>
          <t>Nesibe Aydın Spor Kulübü</t>
        </is>
      </c>
      <c r="Q32" s="12" t="inlineStr">
        <is>
          <t>Ankara</t>
        </is>
      </c>
      <c r="R32">
        <f>Q32=B32</f>
        <v/>
      </c>
      <c r="T32">
        <f>MATCH(D32,[1]Manual!$A:$A,0)</f>
        <v/>
      </c>
    </row>
    <row r="33" ht="15.95" customHeight="1">
      <c r="A33" s="4" t="n">
        <v>32</v>
      </c>
      <c r="B33" s="4" t="inlineStr">
        <is>
          <t>Ankara</t>
        </is>
      </c>
      <c r="C33" s="5" t="inlineStr">
        <is>
          <t>Erkek</t>
        </is>
      </c>
      <c r="D33" s="5" t="inlineStr">
        <is>
          <t>Umut Ata SARIKAYA</t>
        </is>
      </c>
      <c r="E33" s="4" t="inlineStr">
        <is>
          <t>12</t>
        </is>
      </c>
      <c r="F33" s="4" t="inlineStr">
        <is>
          <t>17806086814</t>
        </is>
      </c>
      <c r="G33" s="4" t="inlineStr">
        <is>
          <t>100m Kelebek</t>
        </is>
      </c>
      <c r="H33" s="4" t="inlineStr">
        <is>
          <t>1:00.76</t>
        </is>
      </c>
      <c r="I33" s="4" t="inlineStr">
        <is>
          <t>200m Karışık</t>
        </is>
      </c>
      <c r="J33" s="4" t="inlineStr">
        <is>
          <t>2:20.48</t>
        </is>
      </c>
      <c r="K33" s="4" t="inlineStr">
        <is>
          <t>200m Kelebek</t>
        </is>
      </c>
      <c r="L33" s="4" t="inlineStr">
        <is>
          <t>2:13.94</t>
        </is>
      </c>
      <c r="M33" s="4" t="inlineStr">
        <is>
          <t>400m Karışık</t>
        </is>
      </c>
      <c r="N33" s="4" t="inlineStr">
        <is>
          <t>4:58.40</t>
        </is>
      </c>
      <c r="P33" s="6" t="inlineStr">
        <is>
          <t>Yenimahalle Belediyesi Spor Kulübü</t>
        </is>
      </c>
      <c r="Q33" s="6" t="inlineStr">
        <is>
          <t>Ankara</t>
        </is>
      </c>
      <c r="R33">
        <f>Q33=B33</f>
        <v/>
      </c>
      <c r="T33">
        <f>MATCH(D33,[1]Manual!$A:$A,0)</f>
        <v/>
      </c>
    </row>
    <row r="34" ht="15.95" customHeight="1">
      <c r="A34" s="2" t="n">
        <v>33</v>
      </c>
      <c r="B34" s="2" t="inlineStr">
        <is>
          <t>Ankara</t>
        </is>
      </c>
      <c r="C34" s="3" t="inlineStr">
        <is>
          <t>Erkek</t>
        </is>
      </c>
      <c r="D34" s="3" t="inlineStr">
        <is>
          <t>Yaman KARACAÖREN</t>
        </is>
      </c>
      <c r="E34" s="2" t="inlineStr">
        <is>
          <t>14</t>
        </is>
      </c>
      <c r="F34" s="2" t="inlineStr">
        <is>
          <t>13771223119</t>
        </is>
      </c>
      <c r="G34" s="2" t="inlineStr">
        <is>
          <t>100m Serbest</t>
        </is>
      </c>
      <c r="H34" s="2" t="inlineStr">
        <is>
          <t>1:00.73</t>
        </is>
      </c>
      <c r="I34" s="2" t="inlineStr">
        <is>
          <t>100m Kelebek</t>
        </is>
      </c>
      <c r="J34" s="2" t="inlineStr">
        <is>
          <t>1:08.78</t>
        </is>
      </c>
      <c r="K34" s="2" t="inlineStr">
        <is>
          <t>200m Serbest</t>
        </is>
      </c>
      <c r="L34" s="2" t="inlineStr">
        <is>
          <t>2:12.42</t>
        </is>
      </c>
      <c r="M34" s="2" t="inlineStr">
        <is>
          <t>200m Kelebek</t>
        </is>
      </c>
      <c r="N34" s="2" t="inlineStr">
        <is>
          <t>NT</t>
        </is>
      </c>
      <c r="P34" t="inlineStr">
        <is>
          <t>Ted Ankara Kolejliler Spor Kulübü</t>
        </is>
      </c>
      <c r="Q34" t="inlineStr">
        <is>
          <t>Ankara</t>
        </is>
      </c>
      <c r="R34">
        <f>Q34=B34</f>
        <v/>
      </c>
      <c r="T34">
        <f>MATCH(D34,[1]Manual!$A:$A,0)</f>
        <v/>
      </c>
    </row>
    <row r="35" ht="15.95" customHeight="1">
      <c r="A35" s="4" t="n">
        <v>34</v>
      </c>
      <c r="B35" s="4" t="inlineStr">
        <is>
          <t>Ankara</t>
        </is>
      </c>
      <c r="C35" s="5" t="inlineStr">
        <is>
          <t>Erkek</t>
        </is>
      </c>
      <c r="D35" s="5" t="inlineStr">
        <is>
          <t>Çınar Ege PERİT</t>
        </is>
      </c>
      <c r="E35" s="4" t="inlineStr">
        <is>
          <t>11</t>
        </is>
      </c>
      <c r="F35" s="4" t="inlineStr">
        <is>
          <t>13711078428</t>
        </is>
      </c>
      <c r="G35" s="4" t="inlineStr">
        <is>
          <t>200m Serbest</t>
        </is>
      </c>
      <c r="H35" s="4" t="inlineStr">
        <is>
          <t>2:00.62</t>
        </is>
      </c>
      <c r="I35" s="4" t="inlineStr">
        <is>
          <t>800m Serbest</t>
        </is>
      </c>
      <c r="J35" s="4" t="inlineStr">
        <is>
          <t>8:27.89</t>
        </is>
      </c>
      <c r="K35" s="4" t="inlineStr">
        <is>
          <t>400m Serbest</t>
        </is>
      </c>
      <c r="L35" s="4" t="inlineStr">
        <is>
          <t>4:10.13</t>
        </is>
      </c>
      <c r="M35" s="4" t="inlineStr">
        <is>
          <t>1500m Serbest</t>
        </is>
      </c>
      <c r="N35" s="4" t="inlineStr">
        <is>
          <t>16:08.69</t>
        </is>
      </c>
      <c r="P35" t="inlineStr">
        <is>
          <t>Vamos Spor Kulübü</t>
        </is>
      </c>
      <c r="Q35" t="inlineStr">
        <is>
          <t>Ankara</t>
        </is>
      </c>
      <c r="R35">
        <f>Q35=B35</f>
        <v/>
      </c>
      <c r="T35">
        <f>MATCH(D35,[1]Manual!$A:$A,0)</f>
        <v/>
      </c>
    </row>
    <row r="36" ht="15.95" customHeight="1">
      <c r="A36" s="2" t="n">
        <v>35</v>
      </c>
      <c r="B36" s="2" t="inlineStr">
        <is>
          <t>Ankara</t>
        </is>
      </c>
      <c r="C36" s="3" t="inlineStr">
        <is>
          <t>Erkek</t>
        </is>
      </c>
      <c r="D36" s="3" t="inlineStr">
        <is>
          <t>Çınar KIROĞLU</t>
        </is>
      </c>
      <c r="E36" s="2" t="inlineStr">
        <is>
          <t>11</t>
        </is>
      </c>
      <c r="F36" s="2" t="inlineStr">
        <is>
          <t>19277909822</t>
        </is>
      </c>
      <c r="G36" s="2" t="inlineStr">
        <is>
          <t>200m Serbest</t>
        </is>
      </c>
      <c r="H36" s="2" t="inlineStr">
        <is>
          <t>2:00.88</t>
        </is>
      </c>
      <c r="I36" s="2" t="inlineStr">
        <is>
          <t>200m Sırtüstü</t>
        </is>
      </c>
      <c r="J36" s="2" t="inlineStr">
        <is>
          <t>2:18.06</t>
        </is>
      </c>
      <c r="K36" s="2" t="inlineStr">
        <is>
          <t>400m Serbest</t>
        </is>
      </c>
      <c r="L36" s="2" t="inlineStr">
        <is>
          <t>4:15.11</t>
        </is>
      </c>
      <c r="M36" s="2" t="inlineStr">
        <is>
          <t>200m Karışık</t>
        </is>
      </c>
      <c r="N36" s="2" t="inlineStr">
        <is>
          <t>2:14.64</t>
        </is>
      </c>
      <c r="P36" t="inlineStr">
        <is>
          <t>Vamos Spor Kulübü</t>
        </is>
      </c>
      <c r="Q36" t="inlineStr">
        <is>
          <t>Ankara</t>
        </is>
      </c>
      <c r="R36">
        <f>Q36=B36</f>
        <v/>
      </c>
      <c r="T36">
        <f>MATCH(D36,[1]Manual!$A:$A,0)</f>
        <v/>
      </c>
    </row>
    <row r="37" ht="15.95" customHeight="1">
      <c r="A37" s="4" t="n">
        <v>36</v>
      </c>
      <c r="B37" s="4" t="inlineStr">
        <is>
          <t>Ankara</t>
        </is>
      </c>
      <c r="C37" s="5" t="inlineStr">
        <is>
          <t>Erkek</t>
        </is>
      </c>
      <c r="D37" s="5" t="inlineStr">
        <is>
          <t>Ömer Selman Karaköse</t>
        </is>
      </c>
      <c r="E37" s="4" t="inlineStr">
        <is>
          <t>14</t>
        </is>
      </c>
      <c r="F37" s="4" t="inlineStr">
        <is>
          <t>69913227489</t>
        </is>
      </c>
      <c r="G37" s="4" t="inlineStr">
        <is>
          <t>800m Serbest</t>
        </is>
      </c>
      <c r="H37" s="4" t="inlineStr">
        <is>
          <t>NT</t>
        </is>
      </c>
      <c r="I37" s="4" t="inlineStr">
        <is>
          <t>100m Kelebek</t>
        </is>
      </c>
      <c r="J37" s="4" t="inlineStr">
        <is>
          <t>1:10.26</t>
        </is>
      </c>
      <c r="K37" s="4" t="inlineStr">
        <is>
          <t>1500m Serbest</t>
        </is>
      </c>
      <c r="L37" s="4" t="inlineStr">
        <is>
          <t>NT</t>
        </is>
      </c>
      <c r="M37" s="4" t="inlineStr">
        <is>
          <t>200m Kelebek</t>
        </is>
      </c>
      <c r="N37" s="4" t="inlineStr">
        <is>
          <t>2:58.58</t>
        </is>
      </c>
      <c r="P37" s="6" t="inlineStr">
        <is>
          <t>Baskent Cankaya Spor Kulübü</t>
        </is>
      </c>
      <c r="Q37" t="inlineStr">
        <is>
          <t>Ankara</t>
        </is>
      </c>
      <c r="R37">
        <f>Q37=B37</f>
        <v/>
      </c>
      <c r="T37">
        <f>MATCH(D37,[1]Manual!$A:$A,0)</f>
        <v/>
      </c>
    </row>
    <row r="38" ht="15.95" customHeight="1">
      <c r="A38" s="2" t="n">
        <v>37</v>
      </c>
      <c r="B38" s="2" t="inlineStr">
        <is>
          <t>Ankara</t>
        </is>
      </c>
      <c r="C38" s="3" t="inlineStr">
        <is>
          <t>Bayan</t>
        </is>
      </c>
      <c r="D38" s="3" t="inlineStr">
        <is>
          <t>Arya Gönül KAHRAMAN</t>
        </is>
      </c>
      <c r="E38" s="2" t="inlineStr">
        <is>
          <t>14</t>
        </is>
      </c>
      <c r="F38" s="2" t="inlineStr">
        <is>
          <t>13221117149</t>
        </is>
      </c>
      <c r="G38" s="2" t="inlineStr">
        <is>
          <t>400m Serbest</t>
        </is>
      </c>
      <c r="H38" s="2" t="inlineStr">
        <is>
          <t>05:05.64</t>
        </is>
      </c>
      <c r="I38" s="2" t="inlineStr">
        <is>
          <t>1500m Serbest</t>
        </is>
      </c>
      <c r="J38" s="2" t="inlineStr">
        <is>
          <t>19:52.55</t>
        </is>
      </c>
      <c r="K38" s="2" t="inlineStr">
        <is>
          <t>800m Serbest</t>
        </is>
      </c>
      <c r="L38" s="2" t="inlineStr">
        <is>
          <t>12:45.27</t>
        </is>
      </c>
      <c r="M38" s="2" t="inlineStr">
        <is>
          <t>200m Karışık</t>
        </is>
      </c>
      <c r="N38" s="2" t="inlineStr">
        <is>
          <t>02:48.57</t>
        </is>
      </c>
      <c r="P38" t="inlineStr">
        <is>
          <t>Ankara Ferdi</t>
        </is>
      </c>
      <c r="Q38" t="inlineStr">
        <is>
          <t>Ankara</t>
        </is>
      </c>
      <c r="R38">
        <f>Q38=B38</f>
        <v/>
      </c>
      <c r="T38">
        <f>MATCH(D38,[1]Manual!$A:$A,0)</f>
        <v/>
      </c>
    </row>
    <row r="39" ht="15.95" customHeight="1">
      <c r="A39" s="4" t="n">
        <v>38</v>
      </c>
      <c r="B39" s="4" t="inlineStr">
        <is>
          <t>Ankara</t>
        </is>
      </c>
      <c r="C39" s="5" t="inlineStr">
        <is>
          <t>Bayan</t>
        </is>
      </c>
      <c r="D39" s="5" t="inlineStr">
        <is>
          <t>Aslı Beren KOLCU</t>
        </is>
      </c>
      <c r="E39" s="4" t="inlineStr">
        <is>
          <t>14</t>
        </is>
      </c>
      <c r="F39" s="4" t="inlineStr">
        <is>
          <t>18958048712</t>
        </is>
      </c>
      <c r="G39" s="4" t="inlineStr">
        <is>
          <t>100m Sırtüstü</t>
        </is>
      </c>
      <c r="H39" s="4" t="inlineStr">
        <is>
          <t>1:13.43</t>
        </is>
      </c>
      <c r="I39" s="4" t="inlineStr">
        <is>
          <t>100m Kurbağalama</t>
        </is>
      </c>
      <c r="J39" s="4" t="inlineStr">
        <is>
          <t>1:41.45</t>
        </is>
      </c>
      <c r="K39" s="4" t="inlineStr">
        <is>
          <t>200m Sırtüstü</t>
        </is>
      </c>
      <c r="L39" s="4" t="inlineStr">
        <is>
          <t>2:35.60</t>
        </is>
      </c>
      <c r="M39" s="4" t="inlineStr">
        <is>
          <t>200m Karışık</t>
        </is>
      </c>
      <c r="N39" s="4" t="inlineStr">
        <is>
          <t>2:43.73</t>
        </is>
      </c>
      <c r="P39" t="inlineStr">
        <is>
          <t>Aykon Spor Kulübü</t>
        </is>
      </c>
      <c r="Q39" t="inlineStr">
        <is>
          <t>Ankara</t>
        </is>
      </c>
      <c r="R39">
        <f>Q39=B39</f>
        <v/>
      </c>
      <c r="T39">
        <f>MATCH(D39,[1]Manual!$A:$A,0)</f>
        <v/>
      </c>
    </row>
    <row r="40" ht="15.95" customHeight="1">
      <c r="A40" s="2" t="n">
        <v>39</v>
      </c>
      <c r="B40" s="2" t="inlineStr">
        <is>
          <t>Ankara</t>
        </is>
      </c>
      <c r="C40" s="3" t="inlineStr">
        <is>
          <t>Bayan</t>
        </is>
      </c>
      <c r="D40" s="3" t="inlineStr">
        <is>
          <t>Azra SOYLU</t>
        </is>
      </c>
      <c r="E40" s="2" t="inlineStr">
        <is>
          <t>14</t>
        </is>
      </c>
      <c r="F40" s="2" t="inlineStr">
        <is>
          <t>11554148615</t>
        </is>
      </c>
      <c r="G40" s="2" t="inlineStr">
        <is>
          <t>1500m Serbest</t>
        </is>
      </c>
      <c r="H40" s="2" t="inlineStr">
        <is>
          <t>NT</t>
        </is>
      </c>
      <c r="I40" s="2" t="inlineStr">
        <is>
          <t>200m Kurbağalama</t>
        </is>
      </c>
      <c r="J40" s="2" t="inlineStr">
        <is>
          <t>2:50.53</t>
        </is>
      </c>
      <c r="K40" s="2" t="inlineStr">
        <is>
          <t>100m Kurbağalama</t>
        </is>
      </c>
      <c r="L40" s="2" t="inlineStr">
        <is>
          <t>1:19.59</t>
        </is>
      </c>
      <c r="M40" s="2" t="inlineStr">
        <is>
          <t>200m Karışık</t>
        </is>
      </c>
      <c r="N40" s="2" t="inlineStr">
        <is>
          <t>2:36.79</t>
        </is>
      </c>
      <c r="P40" t="inlineStr">
        <is>
          <t>Nesibe Aydın Spor Kulübü</t>
        </is>
      </c>
      <c r="Q40" t="inlineStr">
        <is>
          <t>Ankara</t>
        </is>
      </c>
      <c r="R40">
        <f>Q40=B40</f>
        <v/>
      </c>
      <c r="T40">
        <f>MATCH(D40,[1]Manual!$A:$A,0)</f>
        <v/>
      </c>
    </row>
    <row r="41" ht="15.95" customHeight="1">
      <c r="A41" s="4" t="n">
        <v>40</v>
      </c>
      <c r="B41" s="4" t="inlineStr">
        <is>
          <t>Ankara</t>
        </is>
      </c>
      <c r="C41" s="5" t="inlineStr">
        <is>
          <t>Bayan</t>
        </is>
      </c>
      <c r="D41" s="5" t="inlineStr">
        <is>
          <t>Başak İrem Altunzincir</t>
        </is>
      </c>
      <c r="E41" s="4" t="inlineStr">
        <is>
          <t>14</t>
        </is>
      </c>
      <c r="F41" s="4" t="inlineStr">
        <is>
          <t>10510070923</t>
        </is>
      </c>
      <c r="G41" s="4" t="inlineStr">
        <is>
          <t>200m Serbest</t>
        </is>
      </c>
      <c r="H41" s="4" t="inlineStr">
        <is>
          <t>2:31.04</t>
        </is>
      </c>
      <c r="I41" s="4" t="inlineStr">
        <is>
          <t>200m Sırtüstü</t>
        </is>
      </c>
      <c r="J41" s="4" t="inlineStr">
        <is>
          <t>2:44.23</t>
        </is>
      </c>
      <c r="K41" s="4" t="inlineStr">
        <is>
          <t>100m Sırtüstü</t>
        </is>
      </c>
      <c r="L41" s="4" t="inlineStr">
        <is>
          <t>1:19.06</t>
        </is>
      </c>
      <c r="M41" s="4" t="inlineStr">
        <is>
          <t>200m Karışık</t>
        </is>
      </c>
      <c r="N41" s="4" t="inlineStr">
        <is>
          <t>2:57.02</t>
        </is>
      </c>
      <c r="P41" s="12" t="inlineStr">
        <is>
          <t>Baskent Cankaya Spor Kulübü</t>
        </is>
      </c>
      <c r="Q41" t="inlineStr">
        <is>
          <t>Ankara</t>
        </is>
      </c>
      <c r="R41">
        <f>Q41=B41</f>
        <v/>
      </c>
      <c r="T41">
        <f>MATCH(D41,[1]Manual!$A:$A,0)</f>
        <v/>
      </c>
    </row>
    <row r="42" ht="15.95" customHeight="1">
      <c r="A42" s="2" t="n">
        <v>41</v>
      </c>
      <c r="B42" s="2" t="inlineStr">
        <is>
          <t>Ankara</t>
        </is>
      </c>
      <c r="C42" s="3" t="inlineStr">
        <is>
          <t>Bayan</t>
        </is>
      </c>
      <c r="D42" s="3" t="inlineStr">
        <is>
          <t>Deniz ANIL</t>
        </is>
      </c>
      <c r="E42" s="2" t="inlineStr">
        <is>
          <t>12</t>
        </is>
      </c>
      <c r="F42" s="2" t="inlineStr">
        <is>
          <t>18854236255</t>
        </is>
      </c>
      <c r="G42" s="2" t="inlineStr">
        <is>
          <t>50m Serbest</t>
        </is>
      </c>
      <c r="H42" s="2" t="inlineStr">
        <is>
          <t>27.87</t>
        </is>
      </c>
      <c r="I42" s="2" t="inlineStr">
        <is>
          <t>200m Serbest</t>
        </is>
      </c>
      <c r="J42" s="2" t="inlineStr">
        <is>
          <t>2:08.92</t>
        </is>
      </c>
      <c r="K42" s="2" t="inlineStr">
        <is>
          <t>100m Serbest</t>
        </is>
      </c>
      <c r="L42" s="2" t="inlineStr">
        <is>
          <t>1:00.57</t>
        </is>
      </c>
      <c r="M42" s="2" t="inlineStr">
        <is>
          <t>200m Kelebek</t>
        </is>
      </c>
      <c r="N42" s="2" t="inlineStr">
        <is>
          <t>2:29.48</t>
        </is>
      </c>
      <c r="P42" t="inlineStr">
        <is>
          <t>Vamos Spor Kulübü</t>
        </is>
      </c>
      <c r="Q42" t="inlineStr">
        <is>
          <t>Ankara</t>
        </is>
      </c>
      <c r="R42">
        <f>Q42=B42</f>
        <v/>
      </c>
      <c r="T42">
        <f>MATCH(D42,[1]Manual!$A:$A,0)</f>
        <v/>
      </c>
    </row>
    <row r="43" ht="15.95" customHeight="1">
      <c r="A43" s="4" t="n">
        <v>42</v>
      </c>
      <c r="B43" s="4" t="inlineStr">
        <is>
          <t>Ankara</t>
        </is>
      </c>
      <c r="C43" s="5" t="inlineStr">
        <is>
          <t>Bayan</t>
        </is>
      </c>
      <c r="D43" s="5" t="inlineStr">
        <is>
          <t>Elçin Uzun</t>
        </is>
      </c>
      <c r="E43" s="4" t="inlineStr">
        <is>
          <t>13</t>
        </is>
      </c>
      <c r="F43" s="4" t="inlineStr">
        <is>
          <t>27116653914</t>
        </is>
      </c>
      <c r="G43" s="4" t="inlineStr">
        <is>
          <t>100m Sırtüstü</t>
        </is>
      </c>
      <c r="H43" s="4" t="inlineStr">
        <is>
          <t>1:13.17</t>
        </is>
      </c>
      <c r="I43" s="4" t="inlineStr">
        <is>
          <t>100m Kelebek</t>
        </is>
      </c>
      <c r="J43" s="4" t="inlineStr">
        <is>
          <t>1:13.79</t>
        </is>
      </c>
      <c r="K43" s="4" t="inlineStr">
        <is>
          <t>200m Sırtüstü</t>
        </is>
      </c>
      <c r="L43" s="4" t="inlineStr">
        <is>
          <t>2:35.99</t>
        </is>
      </c>
      <c r="M43" s="4" t="inlineStr">
        <is>
          <t>200m Karışık</t>
        </is>
      </c>
      <c r="N43" s="4" t="inlineStr">
        <is>
          <t>2:39.85</t>
        </is>
      </c>
      <c r="P43" t="inlineStr">
        <is>
          <t>Vamos Spor Kulübü</t>
        </is>
      </c>
      <c r="Q43" t="inlineStr">
        <is>
          <t>Ankara</t>
        </is>
      </c>
      <c r="R43">
        <f>Q43=B43</f>
        <v/>
      </c>
      <c r="T43">
        <f>MATCH(D43,[1]Manual!$A:$A,0)</f>
        <v/>
      </c>
    </row>
    <row r="44" ht="15.95" customHeight="1">
      <c r="A44" s="2" t="n">
        <v>43</v>
      </c>
      <c r="B44" s="2" t="inlineStr">
        <is>
          <t>Ankara</t>
        </is>
      </c>
      <c r="C44" s="3" t="inlineStr">
        <is>
          <t>Bayan</t>
        </is>
      </c>
      <c r="D44" s="3" t="inlineStr">
        <is>
          <t>Eylül ÇOTUR</t>
        </is>
      </c>
      <c r="E44" s="2" t="inlineStr">
        <is>
          <t>14</t>
        </is>
      </c>
      <c r="F44" s="2" t="inlineStr">
        <is>
          <t>14344054514</t>
        </is>
      </c>
      <c r="G44" s="2" t="inlineStr">
        <is>
          <t>100m Sırtüstü</t>
        </is>
      </c>
      <c r="H44" s="2" t="inlineStr">
        <is>
          <t>1:19.00</t>
        </is>
      </c>
      <c r="I44" s="2" t="inlineStr">
        <is>
          <t>100m Kelebek</t>
        </is>
      </c>
      <c r="J44" s="2" t="inlineStr">
        <is>
          <t>NT</t>
        </is>
      </c>
      <c r="K44" s="2" t="inlineStr">
        <is>
          <t>200m Sırtüstü</t>
        </is>
      </c>
      <c r="L44" s="2" t="inlineStr">
        <is>
          <t>2:44.59</t>
        </is>
      </c>
      <c r="M44" s="2" t="inlineStr">
        <is>
          <t>200m Karışık</t>
        </is>
      </c>
      <c r="N44" s="2" t="inlineStr">
        <is>
          <t>2:50.91</t>
        </is>
      </c>
      <c r="P44" t="inlineStr">
        <is>
          <t>Nesibe Aydın Spor Kulübü</t>
        </is>
      </c>
      <c r="Q44" t="inlineStr">
        <is>
          <t>Ankara</t>
        </is>
      </c>
      <c r="R44">
        <f>Q44=B44</f>
        <v/>
      </c>
      <c r="T44">
        <f>MATCH(D44,[1]Manual!$A:$A,0)</f>
        <v/>
      </c>
    </row>
    <row r="45" ht="15.95" customHeight="1">
      <c r="A45" s="4" t="n">
        <v>44</v>
      </c>
      <c r="B45" s="4" t="inlineStr">
        <is>
          <t>Ankara</t>
        </is>
      </c>
      <c r="C45" s="5" t="inlineStr">
        <is>
          <t>Bayan</t>
        </is>
      </c>
      <c r="D45" s="5" t="inlineStr">
        <is>
          <t>Naz HAZIROLAN</t>
        </is>
      </c>
      <c r="E45" s="4" t="inlineStr">
        <is>
          <t>13</t>
        </is>
      </c>
      <c r="F45" s="4" t="inlineStr">
        <is>
          <t>11329154911</t>
        </is>
      </c>
      <c r="G45" s="4" t="inlineStr">
        <is>
          <t>100m Serbest</t>
        </is>
      </c>
      <c r="H45" s="4" t="inlineStr">
        <is>
          <t>1:02.48</t>
        </is>
      </c>
      <c r="I45" s="4" t="inlineStr">
        <is>
          <t>100m Sırtüstü</t>
        </is>
      </c>
      <c r="J45" s="4" t="inlineStr">
        <is>
          <t>1:10.11</t>
        </is>
      </c>
      <c r="K45" s="4" t="inlineStr">
        <is>
          <t>200m Serbest</t>
        </is>
      </c>
      <c r="L45" s="4" t="inlineStr">
        <is>
          <t>2:15.91</t>
        </is>
      </c>
      <c r="M45" s="4" t="inlineStr">
        <is>
          <t>200m Sırtüstü</t>
        </is>
      </c>
      <c r="N45" s="4" t="inlineStr">
        <is>
          <t>2:29.83</t>
        </is>
      </c>
      <c r="P45" s="6" t="inlineStr">
        <is>
          <t>Vamos Spor Kulübü</t>
        </is>
      </c>
      <c r="Q45" t="inlineStr">
        <is>
          <t>Ankara</t>
        </is>
      </c>
      <c r="R45">
        <f>Q45=B45</f>
        <v/>
      </c>
      <c r="T45">
        <f>MATCH(D45,[1]Manual!$A:$A,0)</f>
        <v/>
      </c>
    </row>
    <row r="46" ht="15.95" customHeight="1">
      <c r="A46" s="2" t="n">
        <v>45</v>
      </c>
      <c r="B46" s="2" t="inlineStr">
        <is>
          <t>Ankara</t>
        </is>
      </c>
      <c r="C46" s="3" t="inlineStr">
        <is>
          <t>Bayan</t>
        </is>
      </c>
      <c r="D46" s="3" t="inlineStr">
        <is>
          <t>Selen Naz Ağababaoğlu</t>
        </is>
      </c>
      <c r="E46" s="2" t="inlineStr">
        <is>
          <t>13</t>
        </is>
      </c>
      <c r="F46" s="2" t="inlineStr">
        <is>
          <t>14464051512</t>
        </is>
      </c>
      <c r="G46" s="2" t="inlineStr">
        <is>
          <t>100m Serbest</t>
        </is>
      </c>
      <c r="H46" s="2" t="inlineStr">
        <is>
          <t>1:04.24</t>
        </is>
      </c>
      <c r="I46" s="2" t="inlineStr">
        <is>
          <t>400m Serbest</t>
        </is>
      </c>
      <c r="J46" s="2" t="inlineStr">
        <is>
          <t>4:56.43</t>
        </is>
      </c>
      <c r="K46" s="2" t="inlineStr">
        <is>
          <t>200m Serbest</t>
        </is>
      </c>
      <c r="L46" s="2" t="inlineStr">
        <is>
          <t>2:20.16</t>
        </is>
      </c>
      <c r="M46" s="2" t="inlineStr">
        <is>
          <t>200m Karışık</t>
        </is>
      </c>
      <c r="N46" s="2" t="inlineStr">
        <is>
          <t>2:42.39</t>
        </is>
      </c>
      <c r="P46" t="inlineStr">
        <is>
          <t>Vamos Spor Kulübü</t>
        </is>
      </c>
      <c r="Q46" t="inlineStr">
        <is>
          <t>Ankara</t>
        </is>
      </c>
      <c r="R46">
        <f>Q46=B46</f>
        <v/>
      </c>
      <c r="T46">
        <f>MATCH(D46,[1]Manual!$A:$A,0)</f>
        <v/>
      </c>
    </row>
    <row r="47" ht="15.95" customHeight="1">
      <c r="A47" s="4" t="n">
        <v>46</v>
      </c>
      <c r="B47" s="4" t="inlineStr">
        <is>
          <t>Ankara</t>
        </is>
      </c>
      <c r="C47" s="5" t="inlineStr">
        <is>
          <t>Bayan</t>
        </is>
      </c>
      <c r="D47" s="5" t="inlineStr">
        <is>
          <t>Serenay Tuğçe Gülöksüz</t>
        </is>
      </c>
      <c r="E47" s="4" t="inlineStr">
        <is>
          <t>14</t>
        </is>
      </c>
      <c r="F47" s="4" t="inlineStr">
        <is>
          <t>18625060628</t>
        </is>
      </c>
      <c r="G47" s="4" t="inlineStr">
        <is>
          <t>200m Serbest</t>
        </is>
      </c>
      <c r="H47" s="4" t="inlineStr">
        <is>
          <t>2:27.28</t>
        </is>
      </c>
      <c r="I47" s="4" t="inlineStr">
        <is>
          <t>100m Kelebek</t>
        </is>
      </c>
      <c r="J47" s="4" t="inlineStr">
        <is>
          <t>1:23.11</t>
        </is>
      </c>
      <c r="K47" s="4" t="inlineStr">
        <is>
          <t>400m Serbest</t>
        </is>
      </c>
      <c r="L47" s="4" t="inlineStr">
        <is>
          <t>5:16.34</t>
        </is>
      </c>
      <c r="M47" s="4" t="inlineStr">
        <is>
          <t>200m Karışık</t>
        </is>
      </c>
      <c r="N47" s="4" t="inlineStr">
        <is>
          <t>2:58.25</t>
        </is>
      </c>
      <c r="P47" t="inlineStr">
        <is>
          <t>Orka Swim Team Spor Kulübü</t>
        </is>
      </c>
      <c r="Q47" t="inlineStr">
        <is>
          <t>Ankara</t>
        </is>
      </c>
      <c r="R47">
        <f>Q47=B47</f>
        <v/>
      </c>
      <c r="T47">
        <f>MATCH(D47,[1]Manual!$A:$A,0)</f>
        <v/>
      </c>
    </row>
    <row r="48" ht="15.95" customHeight="1">
      <c r="A48" s="2" t="n">
        <v>47</v>
      </c>
      <c r="B48" s="2" t="inlineStr">
        <is>
          <t>Ankara</t>
        </is>
      </c>
      <c r="C48" s="3" t="inlineStr">
        <is>
          <t>Bayan</t>
        </is>
      </c>
      <c r="D48" s="3" t="inlineStr">
        <is>
          <t>Zeynep Beren YILDIZ</t>
        </is>
      </c>
      <c r="E48" s="2" t="inlineStr">
        <is>
          <t>14</t>
        </is>
      </c>
      <c r="F48" s="2" t="inlineStr">
        <is>
          <t>14971037622</t>
        </is>
      </c>
      <c r="G48" s="2" t="inlineStr">
        <is>
          <t>200m Serbest</t>
        </is>
      </c>
      <c r="H48" s="2" t="inlineStr">
        <is>
          <t>2:43.21</t>
        </is>
      </c>
      <c r="I48" s="2" t="inlineStr">
        <is>
          <t>200m Kurbağalama</t>
        </is>
      </c>
      <c r="J48" s="2" t="inlineStr">
        <is>
          <t>3:06.83</t>
        </is>
      </c>
      <c r="K48" s="2" t="inlineStr">
        <is>
          <t>100m Kurbağalama</t>
        </is>
      </c>
      <c r="L48" s="2" t="inlineStr">
        <is>
          <t>1:26.03</t>
        </is>
      </c>
      <c r="M48" s="2" t="inlineStr">
        <is>
          <t>200m Karışık</t>
        </is>
      </c>
      <c r="N48" s="2" t="inlineStr">
        <is>
          <t>2:49.03</t>
        </is>
      </c>
      <c r="P48" t="inlineStr">
        <is>
          <t>Baskent Yüzme Spor Kulübü</t>
        </is>
      </c>
      <c r="Q48" t="inlineStr">
        <is>
          <t>Ankara</t>
        </is>
      </c>
      <c r="R48">
        <f>Q48=B48</f>
        <v/>
      </c>
      <c r="T48">
        <f>MATCH(D48,[1]Manual!$A:$A,0)</f>
        <v/>
      </c>
    </row>
    <row r="49" ht="15.95" customHeight="1">
      <c r="A49" s="4" t="n">
        <v>48</v>
      </c>
      <c r="B49" s="4" t="inlineStr">
        <is>
          <t>Ankara</t>
        </is>
      </c>
      <c r="C49" s="5" t="inlineStr">
        <is>
          <t>Bayan</t>
        </is>
      </c>
      <c r="D49" s="5" t="inlineStr">
        <is>
          <t>Zeynep Duru YARDIMCI</t>
        </is>
      </c>
      <c r="E49" s="4" t="inlineStr">
        <is>
          <t>14</t>
        </is>
      </c>
      <c r="F49" s="4" t="inlineStr">
        <is>
          <t>10809197419</t>
        </is>
      </c>
      <c r="G49" s="4" t="inlineStr">
        <is>
          <t>100m Serbest</t>
        </is>
      </c>
      <c r="H49" s="4" t="inlineStr">
        <is>
          <t>1:04.25</t>
        </is>
      </c>
      <c r="I49" s="4" t="inlineStr">
        <is>
          <t>100m Kelebek</t>
        </is>
      </c>
      <c r="J49" s="4" t="inlineStr">
        <is>
          <t>1:09.47</t>
        </is>
      </c>
      <c r="K49" s="4" t="inlineStr">
        <is>
          <t>200m Serbest</t>
        </is>
      </c>
      <c r="L49" s="4" t="inlineStr">
        <is>
          <t>2:21.63</t>
        </is>
      </c>
      <c r="M49" s="4" t="inlineStr">
        <is>
          <t>200m Karışık</t>
        </is>
      </c>
      <c r="N49" s="4" t="inlineStr">
        <is>
          <t>2:39.72</t>
        </is>
      </c>
      <c r="P49" t="inlineStr">
        <is>
          <t>Orka Swim Team Spor Kulübü</t>
        </is>
      </c>
      <c r="Q49" t="inlineStr">
        <is>
          <t>Ankara</t>
        </is>
      </c>
      <c r="R49">
        <f>Q49=B49</f>
        <v/>
      </c>
      <c r="T49">
        <f>MATCH(D49,[1]Manual!$A:$A,0)</f>
        <v/>
      </c>
    </row>
    <row r="50" ht="15.95" customHeight="1">
      <c r="A50" s="2" t="n">
        <v>49</v>
      </c>
      <c r="B50" s="2" t="inlineStr">
        <is>
          <t>Ankara</t>
        </is>
      </c>
      <c r="C50" s="3" t="inlineStr">
        <is>
          <t>Bayan</t>
        </is>
      </c>
      <c r="D50" s="3" t="inlineStr">
        <is>
          <t>Zeynep HADANOĞLU</t>
        </is>
      </c>
      <c r="E50" s="2" t="inlineStr">
        <is>
          <t>10</t>
        </is>
      </c>
      <c r="F50" s="2" t="inlineStr">
        <is>
          <t>12817104228</t>
        </is>
      </c>
      <c r="G50" s="2" t="inlineStr">
        <is>
          <t>200m Serbest</t>
        </is>
      </c>
      <c r="H50" s="2" t="inlineStr">
        <is>
          <t>2:09.50</t>
        </is>
      </c>
      <c r="I50" s="2" t="inlineStr">
        <is>
          <t>800m Serbest</t>
        </is>
      </c>
      <c r="J50" s="2" t="inlineStr">
        <is>
          <t>9:14.52</t>
        </is>
      </c>
      <c r="K50" s="2" t="inlineStr">
        <is>
          <t>400m Serbest</t>
        </is>
      </c>
      <c r="L50" s="2" t="inlineStr">
        <is>
          <t>4:31.36</t>
        </is>
      </c>
      <c r="M50" s="2" t="inlineStr">
        <is>
          <t>1500m Serbest</t>
        </is>
      </c>
      <c r="N50" s="2" t="inlineStr">
        <is>
          <t>17:41.05</t>
        </is>
      </c>
      <c r="P50" s="6" t="inlineStr">
        <is>
          <t>Vamos Spor Kulübü</t>
        </is>
      </c>
      <c r="Q50" s="6" t="inlineStr">
        <is>
          <t>Ankara</t>
        </is>
      </c>
      <c r="R50">
        <f>Q50=B50</f>
        <v/>
      </c>
      <c r="T50">
        <f>MATCH(D50,[1]Manual!$A:$A,0)</f>
        <v/>
      </c>
    </row>
    <row r="51" ht="15.95" customHeight="1">
      <c r="A51" s="4" t="n">
        <v>50</v>
      </c>
      <c r="B51" s="4" t="inlineStr">
        <is>
          <t>Ankara</t>
        </is>
      </c>
      <c r="C51" s="5" t="inlineStr">
        <is>
          <t>Bayan</t>
        </is>
      </c>
      <c r="D51" s="5" t="inlineStr">
        <is>
          <t>Zeynep Kanıgür</t>
        </is>
      </c>
      <c r="E51" s="4" t="inlineStr">
        <is>
          <t>13</t>
        </is>
      </c>
      <c r="F51" s="4" t="inlineStr">
        <is>
          <t>11605142610</t>
        </is>
      </c>
      <c r="G51" s="4" t="inlineStr">
        <is>
          <t>1500m Serbest</t>
        </is>
      </c>
      <c r="H51" s="4" t="inlineStr">
        <is>
          <t>19:28.76</t>
        </is>
      </c>
      <c r="I51" s="4" t="inlineStr">
        <is>
          <t>200m Kelebek</t>
        </is>
      </c>
      <c r="J51" s="4" t="inlineStr">
        <is>
          <t>2:41.63</t>
        </is>
      </c>
      <c r="K51" s="4" t="inlineStr">
        <is>
          <t>100m Kelebek</t>
        </is>
      </c>
      <c r="L51" s="4" t="inlineStr">
        <is>
          <t>1:11.14</t>
        </is>
      </c>
      <c r="M51" s="4" t="inlineStr">
        <is>
          <t>200m Karışık</t>
        </is>
      </c>
      <c r="N51" s="4" t="inlineStr">
        <is>
          <t>2:43.72</t>
        </is>
      </c>
      <c r="P51" t="inlineStr">
        <is>
          <t>Ted Ankara Kolejliler Spor Kulübü</t>
        </is>
      </c>
      <c r="Q51" t="inlineStr">
        <is>
          <t>Ankara</t>
        </is>
      </c>
      <c r="R51">
        <f>Q51=B51</f>
        <v/>
      </c>
      <c r="T51">
        <f>MATCH(D51,[1]Manual!$A:$A,0)</f>
        <v/>
      </c>
    </row>
    <row r="52" ht="15.95" customHeight="1">
      <c r="A52" s="2" t="n">
        <v>51</v>
      </c>
      <c r="B52" s="2" t="inlineStr">
        <is>
          <t>Ankara</t>
        </is>
      </c>
      <c r="C52" s="3" t="inlineStr">
        <is>
          <t>Bayan</t>
        </is>
      </c>
      <c r="D52" s="3" t="inlineStr">
        <is>
          <t>Zeynep KAYA</t>
        </is>
      </c>
      <c r="E52" s="2" t="inlineStr">
        <is>
          <t>13</t>
        </is>
      </c>
      <c r="F52" s="2" t="inlineStr">
        <is>
          <t>13456232511</t>
        </is>
      </c>
      <c r="G52" s="2" t="inlineStr">
        <is>
          <t>100m Serbest</t>
        </is>
      </c>
      <c r="H52" s="2" t="inlineStr">
        <is>
          <t>1:03.83</t>
        </is>
      </c>
      <c r="I52" s="2" t="inlineStr">
        <is>
          <t>100m Kelebek</t>
        </is>
      </c>
      <c r="J52" s="2" t="inlineStr">
        <is>
          <t>1:14.26</t>
        </is>
      </c>
      <c r="K52" s="2" t="inlineStr">
        <is>
          <t>800m Serbest</t>
        </is>
      </c>
      <c r="L52" s="2" t="inlineStr">
        <is>
          <t>10:11.13</t>
        </is>
      </c>
      <c r="M52" s="2" t="inlineStr">
        <is>
          <t>200m Karışık</t>
        </is>
      </c>
      <c r="N52" s="2" t="inlineStr">
        <is>
          <t>2:42.93</t>
        </is>
      </c>
      <c r="P52" t="inlineStr">
        <is>
          <t>Vamos Spor Kulübü</t>
        </is>
      </c>
      <c r="Q52" t="inlineStr">
        <is>
          <t>Ankara</t>
        </is>
      </c>
      <c r="R52">
        <f>Q52=B52</f>
        <v/>
      </c>
      <c r="T52">
        <f>MATCH(D52,[1]Manual!$A:$A,0)</f>
        <v/>
      </c>
    </row>
    <row r="53" ht="15.95" customHeight="1">
      <c r="A53" s="4" t="n">
        <v>52</v>
      </c>
      <c r="B53" s="4" t="inlineStr">
        <is>
          <t>Ankara</t>
        </is>
      </c>
      <c r="C53" s="5" t="inlineStr">
        <is>
          <t>Bayan</t>
        </is>
      </c>
      <c r="D53" s="5" t="inlineStr">
        <is>
          <t>Öykü ÖZGÜL</t>
        </is>
      </c>
      <c r="E53" s="4" t="inlineStr">
        <is>
          <t>14</t>
        </is>
      </c>
      <c r="F53" s="4" t="inlineStr">
        <is>
          <t>14131067417</t>
        </is>
      </c>
      <c r="G53" s="4" t="inlineStr">
        <is>
          <t>100m Kurbağalama</t>
        </is>
      </c>
      <c r="H53" s="4" t="inlineStr">
        <is>
          <t>1:27.22</t>
        </is>
      </c>
      <c r="I53" s="4" t="inlineStr">
        <is>
          <t>200m Karışık</t>
        </is>
      </c>
      <c r="J53" s="4" t="inlineStr">
        <is>
          <t>2:45.56</t>
        </is>
      </c>
      <c r="K53" s="4" t="inlineStr">
        <is>
          <t>100m Kelebek</t>
        </is>
      </c>
      <c r="L53" s="4" t="inlineStr">
        <is>
          <t>1:14.85</t>
        </is>
      </c>
      <c r="M53" s="4" t="inlineStr">
        <is>
          <t>400m Karışık</t>
        </is>
      </c>
      <c r="N53" s="4" t="inlineStr">
        <is>
          <t>NT</t>
        </is>
      </c>
      <c r="P53" t="inlineStr">
        <is>
          <t>Baskent Cankaya Spor Kulübü</t>
        </is>
      </c>
      <c r="Q53" t="inlineStr">
        <is>
          <t>Ankara</t>
        </is>
      </c>
      <c r="R53">
        <f>Q53=B53</f>
        <v/>
      </c>
      <c r="T53">
        <f>MATCH(D53,[1]Manual!$A:$A,0)</f>
        <v/>
      </c>
    </row>
    <row r="54" ht="15.95" customHeight="1">
      <c r="A54" s="2" t="n">
        <v>53</v>
      </c>
      <c r="B54" s="2" t="inlineStr">
        <is>
          <t>Ankara</t>
        </is>
      </c>
      <c r="C54" s="3" t="inlineStr">
        <is>
          <t>Bayan</t>
        </is>
      </c>
      <c r="D54" s="3" t="inlineStr">
        <is>
          <t>Özüm ÖZBEY</t>
        </is>
      </c>
      <c r="E54" s="2" t="inlineStr">
        <is>
          <t>14</t>
        </is>
      </c>
      <c r="F54" s="2" t="inlineStr">
        <is>
          <t>75385045015</t>
        </is>
      </c>
      <c r="G54" s="2" t="inlineStr">
        <is>
          <t>100m Serbest</t>
        </is>
      </c>
      <c r="H54" s="2" t="inlineStr">
        <is>
          <t>1:08.63</t>
        </is>
      </c>
      <c r="I54" s="2" t="inlineStr">
        <is>
          <t>400m Serbest</t>
        </is>
      </c>
      <c r="J54" s="2" t="inlineStr">
        <is>
          <t>5:11.15</t>
        </is>
      </c>
      <c r="K54" s="2" t="inlineStr">
        <is>
          <t>200m Serbest</t>
        </is>
      </c>
      <c r="L54" s="2" t="inlineStr">
        <is>
          <t>2:28.50</t>
        </is>
      </c>
      <c r="M54" s="2" t="inlineStr">
        <is>
          <t>200m Karışık</t>
        </is>
      </c>
      <c r="N54" s="2" t="inlineStr">
        <is>
          <t>2:46.92</t>
        </is>
      </c>
      <c r="P54" t="inlineStr">
        <is>
          <t>Orka Swim Team Spor Kulübü</t>
        </is>
      </c>
      <c r="Q54" t="inlineStr">
        <is>
          <t>Ankara</t>
        </is>
      </c>
      <c r="R54">
        <f>Q54=B54</f>
        <v/>
      </c>
      <c r="T54">
        <f>MATCH(D54,[1]Manual!$A:$A,0)</f>
        <v/>
      </c>
    </row>
    <row r="55" ht="15.95" customHeight="1">
      <c r="A55" s="4" t="n">
        <v>54</v>
      </c>
      <c r="B55" s="4" t="inlineStr">
        <is>
          <t>Ankara</t>
        </is>
      </c>
      <c r="C55" s="5" t="inlineStr">
        <is>
          <t>Bayan</t>
        </is>
      </c>
      <c r="D55" s="5" t="inlineStr">
        <is>
          <t>ırmak AKCENGİZ</t>
        </is>
      </c>
      <c r="E55" s="4" t="inlineStr">
        <is>
          <t>14</t>
        </is>
      </c>
      <c r="F55" s="4" t="inlineStr">
        <is>
          <t>14656193011</t>
        </is>
      </c>
      <c r="G55" s="4" t="inlineStr">
        <is>
          <t>100m Serbest</t>
        </is>
      </c>
      <c r="H55" s="4" t="inlineStr">
        <is>
          <t>1:05.67</t>
        </is>
      </c>
      <c r="I55" s="4" t="inlineStr">
        <is>
          <t>800m Serbest</t>
        </is>
      </c>
      <c r="J55" s="4" t="inlineStr">
        <is>
          <t>10:45.23</t>
        </is>
      </c>
      <c r="K55" s="4" t="inlineStr">
        <is>
          <t>400m Serbest</t>
        </is>
      </c>
      <c r="L55" s="4" t="inlineStr">
        <is>
          <t>4:55.93</t>
        </is>
      </c>
      <c r="M55" s="4" t="inlineStr">
        <is>
          <t>1500m Serbest</t>
        </is>
      </c>
      <c r="N55" s="4" t="inlineStr">
        <is>
          <t>20:14.97</t>
        </is>
      </c>
      <c r="P55" t="inlineStr">
        <is>
          <t>Orka Swim Team Spor Kulübü</t>
        </is>
      </c>
      <c r="Q55" t="inlineStr">
        <is>
          <t>Ankara</t>
        </is>
      </c>
      <c r="R55">
        <f>Q55=B55</f>
        <v/>
      </c>
      <c r="T55">
        <f>MATCH(D55,[1]Manual!$A:$A,0)</f>
        <v/>
      </c>
    </row>
    <row r="56" ht="15.95" customHeight="1">
      <c r="A56" s="2" t="n">
        <v>55</v>
      </c>
      <c r="B56" s="2" t="inlineStr">
        <is>
          <t>Ankara</t>
        </is>
      </c>
      <c r="C56" s="3" t="inlineStr">
        <is>
          <t>Bayan</t>
        </is>
      </c>
      <c r="D56" s="3" t="inlineStr">
        <is>
          <t>ırmak BARUTÇUOĞLU</t>
        </is>
      </c>
      <c r="E56" s="2" t="inlineStr">
        <is>
          <t>13</t>
        </is>
      </c>
      <c r="F56" s="2" t="inlineStr">
        <is>
          <t>23348779522</t>
        </is>
      </c>
      <c r="G56" s="2" t="inlineStr">
        <is>
          <t>200m Serbest</t>
        </is>
      </c>
      <c r="H56" s="2" t="inlineStr">
        <is>
          <t>2:24.60</t>
        </is>
      </c>
      <c r="I56" s="2" t="inlineStr">
        <is>
          <t>200m Sırtüstü</t>
        </is>
      </c>
      <c r="J56" s="2" t="inlineStr">
        <is>
          <t>2:36.18</t>
        </is>
      </c>
      <c r="K56" s="2" t="inlineStr">
        <is>
          <t>100m Sırtüstü</t>
        </is>
      </c>
      <c r="L56" s="2" t="inlineStr">
        <is>
          <t>1:12.41</t>
        </is>
      </c>
      <c r="M56" s="2" t="inlineStr">
        <is>
          <t>200m Karışık</t>
        </is>
      </c>
      <c r="N56" s="2" t="inlineStr">
        <is>
          <t>2:41.16</t>
        </is>
      </c>
      <c r="P56" t="inlineStr">
        <is>
          <t>Nesibe Aydın Spor Kulübü</t>
        </is>
      </c>
      <c r="Q56" t="inlineStr">
        <is>
          <t>Ankara</t>
        </is>
      </c>
      <c r="R56">
        <f>Q56=B56</f>
        <v/>
      </c>
      <c r="T56">
        <f>MATCH(D56,[1]Manual!$A:$A,0)</f>
        <v/>
      </c>
    </row>
    <row r="57" ht="15.95" customHeight="1">
      <c r="A57" s="4" t="n">
        <v>56</v>
      </c>
      <c r="B57" s="4" t="inlineStr">
        <is>
          <t>Antalya</t>
        </is>
      </c>
      <c r="C57" s="5" t="inlineStr">
        <is>
          <t>Erkek</t>
        </is>
      </c>
      <c r="D57" s="5" t="inlineStr">
        <is>
          <t>Ali KALYON</t>
        </is>
      </c>
      <c r="E57" s="4" t="inlineStr">
        <is>
          <t>14</t>
        </is>
      </c>
      <c r="F57" s="4" t="inlineStr">
        <is>
          <t>13311113820</t>
        </is>
      </c>
      <c r="G57" s="4" t="inlineStr">
        <is>
          <t>200m Serbest</t>
        </is>
      </c>
      <c r="H57" s="4" t="inlineStr">
        <is>
          <t>2:22.89</t>
        </is>
      </c>
      <c r="I57" s="4" t="inlineStr">
        <is>
          <t>1500m Serbest</t>
        </is>
      </c>
      <c r="J57" s="4" t="inlineStr">
        <is>
          <t>19:45.74</t>
        </is>
      </c>
      <c r="K57" s="4" t="inlineStr">
        <is>
          <t>400m Serbest</t>
        </is>
      </c>
      <c r="L57" s="4" t="inlineStr">
        <is>
          <t>4:57.99</t>
        </is>
      </c>
      <c r="M57" s="4" t="inlineStr">
        <is>
          <t>200m Karışık</t>
        </is>
      </c>
      <c r="N57" s="4" t="inlineStr">
        <is>
          <t>2:43.83</t>
        </is>
      </c>
      <c r="P57" t="inlineStr">
        <is>
          <t>Kulac Yüzme İhtisas Spor Kulübü</t>
        </is>
      </c>
      <c r="Q57" t="inlineStr">
        <is>
          <t>Antalya</t>
        </is>
      </c>
      <c r="R57">
        <f>Q57=B57</f>
        <v/>
      </c>
      <c r="T57">
        <f>MATCH(D57,[1]Manual!$A:$A,0)</f>
        <v/>
      </c>
    </row>
    <row r="58" ht="15.95" customHeight="1">
      <c r="A58" s="2" t="n">
        <v>57</v>
      </c>
      <c r="B58" s="2" t="inlineStr">
        <is>
          <t>Antalya</t>
        </is>
      </c>
      <c r="C58" s="3" t="inlineStr">
        <is>
          <t>Erkek</t>
        </is>
      </c>
      <c r="D58" s="3" t="inlineStr">
        <is>
          <t>Ali Rüzgar KURTOĞLU</t>
        </is>
      </c>
      <c r="E58" s="2" t="inlineStr">
        <is>
          <t>11</t>
        </is>
      </c>
      <c r="F58" s="2" t="inlineStr">
        <is>
          <t>13824089120</t>
        </is>
      </c>
      <c r="G58" s="2" t="inlineStr">
        <is>
          <t>200m Serbest</t>
        </is>
      </c>
      <c r="H58" s="2" t="inlineStr">
        <is>
          <t>2:07.23</t>
        </is>
      </c>
      <c r="I58" s="2" t="inlineStr">
        <is>
          <t>800m Serbest</t>
        </is>
      </c>
      <c r="J58" s="2" t="inlineStr">
        <is>
          <t>8:28.42</t>
        </is>
      </c>
      <c r="K58" s="2" t="inlineStr">
        <is>
          <t>400m Serbest</t>
        </is>
      </c>
      <c r="L58" s="2" t="inlineStr">
        <is>
          <t>4:10.46</t>
        </is>
      </c>
      <c r="M58" s="2" t="inlineStr">
        <is>
          <t>1500m Serbest</t>
        </is>
      </c>
      <c r="N58" s="2" t="inlineStr">
        <is>
          <t>15:56.41</t>
        </is>
      </c>
      <c r="P58" t="inlineStr">
        <is>
          <t>Antalya Bahcesehir Spor Kulübü</t>
        </is>
      </c>
      <c r="Q58" t="inlineStr">
        <is>
          <t>Antalya</t>
        </is>
      </c>
      <c r="R58">
        <f>Q58=B58</f>
        <v/>
      </c>
      <c r="T58">
        <f>MATCH(D58,[1]Manual!$A:$A,0)</f>
        <v/>
      </c>
    </row>
    <row r="59" ht="15.95" customHeight="1">
      <c r="A59" s="4" t="n">
        <v>58</v>
      </c>
      <c r="B59" s="4" t="inlineStr">
        <is>
          <t>Antalya</t>
        </is>
      </c>
      <c r="C59" s="5" t="inlineStr">
        <is>
          <t>Erkek</t>
        </is>
      </c>
      <c r="D59" s="5" t="inlineStr">
        <is>
          <t>Arda BALİ</t>
        </is>
      </c>
      <c r="E59" s="4" t="inlineStr">
        <is>
          <t>14</t>
        </is>
      </c>
      <c r="F59" s="4" t="inlineStr">
        <is>
          <t>43930482841</t>
        </is>
      </c>
      <c r="G59" s="4" t="inlineStr">
        <is>
          <t>400m Serbest</t>
        </is>
      </c>
      <c r="H59" s="4" t="inlineStr">
        <is>
          <t>4:29.71</t>
        </is>
      </c>
      <c r="I59" s="4" t="inlineStr">
        <is>
          <t>1500m Serbest</t>
        </is>
      </c>
      <c r="J59" s="4" t="inlineStr">
        <is>
          <t>17:48.54</t>
        </is>
      </c>
      <c r="K59" s="4" t="inlineStr">
        <is>
          <t>800m Serbest</t>
        </is>
      </c>
      <c r="L59" s="4" t="inlineStr">
        <is>
          <t>9:06.63</t>
        </is>
      </c>
      <c r="M59" s="4" t="inlineStr">
        <is>
          <t>200m Kelebek</t>
        </is>
      </c>
      <c r="N59" s="4" t="inlineStr">
        <is>
          <t>2:22.89</t>
        </is>
      </c>
      <c r="P59" t="inlineStr">
        <is>
          <t>Toroslar Yüzme Spor Kulübü</t>
        </is>
      </c>
      <c r="Q59" t="inlineStr">
        <is>
          <t>Antalya</t>
        </is>
      </c>
      <c r="R59">
        <f>Q59=B59</f>
        <v/>
      </c>
      <c r="T59">
        <f>MATCH(D59,[1]Manual!$A:$A,0)</f>
        <v/>
      </c>
    </row>
    <row r="60" ht="15.95" customHeight="1">
      <c r="A60" s="2" t="n">
        <v>59</v>
      </c>
      <c r="B60" s="11" t="inlineStr">
        <is>
          <t>Antalya</t>
        </is>
      </c>
      <c r="C60" s="3" t="inlineStr">
        <is>
          <t>Erkek</t>
        </is>
      </c>
      <c r="D60" s="3" t="inlineStr">
        <is>
          <t>Ayaz Demir UZUN</t>
        </is>
      </c>
      <c r="E60" s="2" t="inlineStr">
        <is>
          <t>14</t>
        </is>
      </c>
      <c r="F60" s="2" t="inlineStr">
        <is>
          <t>46730005441</t>
        </is>
      </c>
      <c r="G60" s="2" t="inlineStr">
        <is>
          <t>400m Serbest</t>
        </is>
      </c>
      <c r="H60" s="2" t="inlineStr">
        <is>
          <t>4:37.88</t>
        </is>
      </c>
      <c r="I60" s="2" t="inlineStr">
        <is>
          <t>1500m Serbest</t>
        </is>
      </c>
      <c r="J60" s="2" t="inlineStr">
        <is>
          <t>17:56.98</t>
        </is>
      </c>
      <c r="K60" s="2" t="inlineStr">
        <is>
          <t>800m Serbest</t>
        </is>
      </c>
      <c r="L60" s="2" t="inlineStr">
        <is>
          <t>9:20.63</t>
        </is>
      </c>
      <c r="M60" s="2" t="inlineStr">
        <is>
          <t>200m Kelebek</t>
        </is>
      </c>
      <c r="N60" s="2" t="inlineStr">
        <is>
          <t>2:31.62</t>
        </is>
      </c>
      <c r="P60" t="inlineStr">
        <is>
          <t>Toroslar Yüzme Spor Kulübü</t>
        </is>
      </c>
      <c r="Q60" s="10" t="inlineStr">
        <is>
          <t>Antalya</t>
        </is>
      </c>
      <c r="R60">
        <f>Q60=B60</f>
        <v/>
      </c>
      <c r="T60">
        <f>MATCH(D60,[1]Manual!$A:$A,0)</f>
        <v/>
      </c>
    </row>
    <row r="61" ht="15.95" customHeight="1">
      <c r="A61" s="4" t="n">
        <v>60</v>
      </c>
      <c r="B61" s="4" t="inlineStr">
        <is>
          <t>Antalya</t>
        </is>
      </c>
      <c r="C61" s="5" t="inlineStr">
        <is>
          <t>Erkek</t>
        </is>
      </c>
      <c r="D61" s="5" t="inlineStr">
        <is>
          <t>Bartu OMAÇ</t>
        </is>
      </c>
      <c r="E61" s="4" t="inlineStr">
        <is>
          <t>14</t>
        </is>
      </c>
      <c r="F61" s="4" t="inlineStr">
        <is>
          <t>67858295921</t>
        </is>
      </c>
      <c r="G61" s="4" t="inlineStr">
        <is>
          <t>200m Serbest</t>
        </is>
      </c>
      <c r="H61" s="4" t="inlineStr">
        <is>
          <t>2:24.60</t>
        </is>
      </c>
      <c r="I61" s="4" t="inlineStr">
        <is>
          <t>100m Kurbağalama</t>
        </is>
      </c>
      <c r="J61" s="4" t="inlineStr">
        <is>
          <t>1:27.92</t>
        </is>
      </c>
      <c r="K61" s="4" t="inlineStr">
        <is>
          <t>1500m Serbest</t>
        </is>
      </c>
      <c r="L61" s="4" t="inlineStr">
        <is>
          <t>20:43.64</t>
        </is>
      </c>
      <c r="M61" s="4" t="inlineStr">
        <is>
          <t>200m Karışık</t>
        </is>
      </c>
      <c r="N61" s="4" t="inlineStr">
        <is>
          <t>2:44.66</t>
        </is>
      </c>
      <c r="P61" t="inlineStr">
        <is>
          <t>Toroslar Yüzme Spor Kulübü</t>
        </is>
      </c>
      <c r="Q61" t="inlineStr">
        <is>
          <t>Antalya</t>
        </is>
      </c>
      <c r="R61">
        <f>Q61=B61</f>
        <v/>
      </c>
      <c r="T61">
        <f>MATCH(D61,[1]Manual!$A:$A,0)</f>
        <v/>
      </c>
    </row>
    <row r="62" ht="15.95" customHeight="1">
      <c r="A62" s="2" t="n">
        <v>61</v>
      </c>
      <c r="B62" s="2" t="inlineStr">
        <is>
          <t>Antalya</t>
        </is>
      </c>
      <c r="C62" s="3" t="inlineStr">
        <is>
          <t>Erkek</t>
        </is>
      </c>
      <c r="D62" s="3" t="inlineStr">
        <is>
          <t>Demir ERDOĞAN</t>
        </is>
      </c>
      <c r="E62" s="2" t="inlineStr">
        <is>
          <t>14</t>
        </is>
      </c>
      <c r="F62" s="2" t="inlineStr">
        <is>
          <t>29728925620</t>
        </is>
      </c>
      <c r="G62" s="2" t="inlineStr">
        <is>
          <t>200m Serbest</t>
        </is>
      </c>
      <c r="H62" s="2" t="inlineStr">
        <is>
          <t>2:18.10</t>
        </is>
      </c>
      <c r="I62" s="2" t="inlineStr">
        <is>
          <t>800m Serbest</t>
        </is>
      </c>
      <c r="J62" s="2" t="inlineStr">
        <is>
          <t>9:38.15</t>
        </is>
      </c>
      <c r="K62" s="2" t="inlineStr">
        <is>
          <t>400m Serbest</t>
        </is>
      </c>
      <c r="L62" s="2" t="inlineStr">
        <is>
          <t>4:43.62</t>
        </is>
      </c>
      <c r="M62" s="2" t="inlineStr">
        <is>
          <t>1500m Serbest</t>
        </is>
      </c>
      <c r="N62" s="2" t="inlineStr">
        <is>
          <t>18:29.55</t>
        </is>
      </c>
      <c r="P62" t="inlineStr">
        <is>
          <t>Antalyaspor Kulübü</t>
        </is>
      </c>
      <c r="Q62" t="inlineStr">
        <is>
          <t>Antalya</t>
        </is>
      </c>
      <c r="R62">
        <f>Q62=B62</f>
        <v/>
      </c>
      <c r="T62">
        <f>MATCH(D62,[1]Manual!$A:$A,0)</f>
        <v/>
      </c>
    </row>
    <row r="63" ht="15.95" customHeight="1">
      <c r="A63" s="4" t="n">
        <v>62</v>
      </c>
      <c r="B63" s="4" t="inlineStr">
        <is>
          <t>Antalya</t>
        </is>
      </c>
      <c r="C63" s="5" t="inlineStr">
        <is>
          <t>Erkek</t>
        </is>
      </c>
      <c r="D63" s="5" t="inlineStr">
        <is>
          <t>Denizhan Umut AKYÜZ</t>
        </is>
      </c>
      <c r="E63" s="4" t="inlineStr">
        <is>
          <t>14</t>
        </is>
      </c>
      <c r="F63" s="4" t="inlineStr">
        <is>
          <t>31129000680</t>
        </is>
      </c>
      <c r="G63" s="4" t="inlineStr">
        <is>
          <t>800m Serbest</t>
        </is>
      </c>
      <c r="H63" s="4" t="inlineStr">
        <is>
          <t>9:56.61</t>
        </is>
      </c>
      <c r="I63" s="4" t="inlineStr">
        <is>
          <t>200m Kelebek</t>
        </is>
      </c>
      <c r="J63" s="4" t="inlineStr">
        <is>
          <t>2:41.21</t>
        </is>
      </c>
      <c r="K63" s="4" t="inlineStr">
        <is>
          <t>1500m Serbest</t>
        </is>
      </c>
      <c r="L63" s="4" t="inlineStr">
        <is>
          <t>18:55.97</t>
        </is>
      </c>
      <c r="M63" s="4" t="inlineStr">
        <is>
          <t>400m Karışık</t>
        </is>
      </c>
      <c r="N63" s="4" t="inlineStr">
        <is>
          <t>5:45.24</t>
        </is>
      </c>
      <c r="P63" t="inlineStr">
        <is>
          <t>Manavgat Barlas Spor Kulübü</t>
        </is>
      </c>
      <c r="Q63" t="inlineStr">
        <is>
          <t>Antalya</t>
        </is>
      </c>
      <c r="R63">
        <f>Q63=B63</f>
        <v/>
      </c>
      <c r="T63">
        <f>MATCH(D63,[1]Manual!$A:$A,0)</f>
        <v/>
      </c>
    </row>
    <row r="64" ht="15.95" customHeight="1">
      <c r="A64" s="2" t="n">
        <v>63</v>
      </c>
      <c r="B64" s="2" t="inlineStr">
        <is>
          <t>Antalya</t>
        </is>
      </c>
      <c r="C64" s="3" t="inlineStr">
        <is>
          <t>Erkek</t>
        </is>
      </c>
      <c r="D64" s="3" t="inlineStr">
        <is>
          <t>Kayra ŞANLIER</t>
        </is>
      </c>
      <c r="E64" s="2" t="inlineStr">
        <is>
          <t>14</t>
        </is>
      </c>
      <c r="F64" s="2" t="inlineStr">
        <is>
          <t>19898078818</t>
        </is>
      </c>
      <c r="G64" s="2" t="inlineStr">
        <is>
          <t>100m Serbest</t>
        </is>
      </c>
      <c r="H64" s="2" t="inlineStr">
        <is>
          <t>1:08.26</t>
        </is>
      </c>
      <c r="I64" s="2" t="inlineStr">
        <is>
          <t>100m Kelebek</t>
        </is>
      </c>
      <c r="J64" s="2" t="inlineStr">
        <is>
          <t>1:15.79</t>
        </is>
      </c>
      <c r="K64" s="2" t="inlineStr">
        <is>
          <t>200m Serbest</t>
        </is>
      </c>
      <c r="L64" s="2" t="inlineStr">
        <is>
          <t>2:24.87</t>
        </is>
      </c>
      <c r="M64" s="2" t="inlineStr">
        <is>
          <t>200m Karışık</t>
        </is>
      </c>
      <c r="N64" s="2" t="inlineStr">
        <is>
          <t>2:48.60</t>
        </is>
      </c>
      <c r="P64" t="inlineStr">
        <is>
          <t>Antalyaspor Kulübü</t>
        </is>
      </c>
      <c r="Q64" t="inlineStr">
        <is>
          <t>Antalya</t>
        </is>
      </c>
      <c r="R64">
        <f>Q64=B64</f>
        <v/>
      </c>
      <c r="T64">
        <f>MATCH(D64,[1]Manual!$A:$A,0)</f>
        <v/>
      </c>
    </row>
    <row r="65" ht="15.95" customHeight="1">
      <c r="A65" s="4" t="n">
        <v>64</v>
      </c>
      <c r="B65" s="4" t="inlineStr">
        <is>
          <t>Antalya</t>
        </is>
      </c>
      <c r="C65" s="5" t="inlineStr">
        <is>
          <t>Erkek</t>
        </is>
      </c>
      <c r="D65" s="5" t="inlineStr">
        <is>
          <t>Kerim IŞIL</t>
        </is>
      </c>
      <c r="E65" s="4" t="inlineStr">
        <is>
          <t>14</t>
        </is>
      </c>
      <c r="F65" s="4" t="inlineStr">
        <is>
          <t>51973825848</t>
        </is>
      </c>
      <c r="G65" s="4" t="inlineStr">
        <is>
          <t>400m Serbest</t>
        </is>
      </c>
      <c r="H65" s="4" t="inlineStr">
        <is>
          <t>4:41.41</t>
        </is>
      </c>
      <c r="I65" s="4" t="inlineStr">
        <is>
          <t>1500m Serbest</t>
        </is>
      </c>
      <c r="J65" s="4" t="inlineStr">
        <is>
          <t>18:11.75</t>
        </is>
      </c>
      <c r="K65" s="4" t="inlineStr">
        <is>
          <t>800m Serbest</t>
        </is>
      </c>
      <c r="L65" s="4" t="inlineStr">
        <is>
          <t>9:33.16</t>
        </is>
      </c>
      <c r="M65" s="4" t="inlineStr">
        <is>
          <t>200m Kelebek</t>
        </is>
      </c>
      <c r="N65" s="4" t="inlineStr">
        <is>
          <t>2:37.40</t>
        </is>
      </c>
      <c r="P65" t="inlineStr">
        <is>
          <t>Antalyaspor Kulübü</t>
        </is>
      </c>
      <c r="Q65" t="inlineStr">
        <is>
          <t>Antalya</t>
        </is>
      </c>
      <c r="R65">
        <f>Q65=B65</f>
        <v/>
      </c>
      <c r="T65">
        <f>MATCH(D65,[1]Manual!$A:$A,0)</f>
        <v/>
      </c>
    </row>
    <row r="66" ht="15.95" customHeight="1">
      <c r="A66" s="2" t="n">
        <v>65</v>
      </c>
      <c r="B66" s="2" t="inlineStr">
        <is>
          <t>Antalya</t>
        </is>
      </c>
      <c r="C66" s="3" t="inlineStr">
        <is>
          <t>Erkek</t>
        </is>
      </c>
      <c r="D66" s="3" t="inlineStr">
        <is>
          <t>Mustafa Yiğit KESKİN</t>
        </is>
      </c>
      <c r="E66" s="2" t="inlineStr">
        <is>
          <t>14</t>
        </is>
      </c>
      <c r="F66" s="2" t="inlineStr">
        <is>
          <t>38452649023</t>
        </is>
      </c>
      <c r="G66" s="2" t="inlineStr">
        <is>
          <t>200m Serbest</t>
        </is>
      </c>
      <c r="H66" s="2" t="inlineStr">
        <is>
          <t>2:16.22</t>
        </is>
      </c>
      <c r="I66" s="2" t="inlineStr">
        <is>
          <t>800m Serbest</t>
        </is>
      </c>
      <c r="J66" s="2" t="inlineStr">
        <is>
          <t>9:52.64</t>
        </is>
      </c>
      <c r="K66" s="2" t="inlineStr">
        <is>
          <t>400m Serbest</t>
        </is>
      </c>
      <c r="L66" s="2" t="inlineStr">
        <is>
          <t>4:41.29</t>
        </is>
      </c>
      <c r="M66" s="2" t="inlineStr">
        <is>
          <t>1500m Serbest</t>
        </is>
      </c>
      <c r="N66" s="2" t="inlineStr">
        <is>
          <t>19:14.74</t>
        </is>
      </c>
      <c r="P66" t="inlineStr">
        <is>
          <t>Antalyaspor Kulübü</t>
        </is>
      </c>
      <c r="Q66" t="inlineStr">
        <is>
          <t>Antalya</t>
        </is>
      </c>
      <c r="R66">
        <f>Q66=B66</f>
        <v/>
      </c>
      <c r="T66">
        <f>MATCH(D66,[1]Manual!$A:$A,0)</f>
        <v/>
      </c>
    </row>
    <row r="67" ht="15.95" customHeight="1">
      <c r="A67" s="4" t="n">
        <v>66</v>
      </c>
      <c r="B67" s="4" t="inlineStr">
        <is>
          <t>Antalya</t>
        </is>
      </c>
      <c r="C67" s="5" t="inlineStr">
        <is>
          <t>Erkek</t>
        </is>
      </c>
      <c r="D67" s="5" t="inlineStr">
        <is>
          <t>Osman Ayaz Türker</t>
        </is>
      </c>
      <c r="E67" s="4" t="inlineStr">
        <is>
          <t>11</t>
        </is>
      </c>
      <c r="F67" s="4" t="inlineStr">
        <is>
          <t>21074851321</t>
        </is>
      </c>
      <c r="G67" s="4" t="inlineStr">
        <is>
          <t>200m Serbest</t>
        </is>
      </c>
      <c r="H67" s="4" t="inlineStr">
        <is>
          <t>2:15.69</t>
        </is>
      </c>
      <c r="I67" s="4" t="inlineStr">
        <is>
          <t>800m Serbest</t>
        </is>
      </c>
      <c r="J67" s="4" t="inlineStr">
        <is>
          <t>9:05.28</t>
        </is>
      </c>
      <c r="K67" s="4" t="inlineStr">
        <is>
          <t>400m Serbest</t>
        </is>
      </c>
      <c r="L67" s="4" t="inlineStr">
        <is>
          <t>4:31.93</t>
        </is>
      </c>
      <c r="M67" s="4" t="inlineStr">
        <is>
          <t>1500m Serbest</t>
        </is>
      </c>
      <c r="N67" s="4" t="inlineStr">
        <is>
          <t>17:24.82</t>
        </is>
      </c>
      <c r="P67" t="inlineStr">
        <is>
          <t>Antalyaspor Kulübü</t>
        </is>
      </c>
      <c r="Q67" t="inlineStr">
        <is>
          <t>Antalya</t>
        </is>
      </c>
      <c r="R67">
        <f>Q67=B67</f>
        <v/>
      </c>
      <c r="T67">
        <f>MATCH(D67,[1]Manual!$A:$A,0)</f>
        <v/>
      </c>
    </row>
    <row r="68" ht="15.95" customHeight="1">
      <c r="A68" s="2" t="n">
        <v>67</v>
      </c>
      <c r="B68" s="2" t="inlineStr">
        <is>
          <t>Antalya</t>
        </is>
      </c>
      <c r="C68" s="3" t="inlineStr">
        <is>
          <t>Erkek</t>
        </is>
      </c>
      <c r="D68" s="3" t="inlineStr">
        <is>
          <t>Timur DONAT</t>
        </is>
      </c>
      <c r="E68" s="2" t="inlineStr">
        <is>
          <t>12</t>
        </is>
      </c>
      <c r="F68" s="2" t="inlineStr">
        <is>
          <t>29426573840</t>
        </is>
      </c>
      <c r="G68" s="2" t="inlineStr">
        <is>
          <t>400m Serbest</t>
        </is>
      </c>
      <c r="H68" s="2" t="inlineStr">
        <is>
          <t>4:24.76</t>
        </is>
      </c>
      <c r="I68" s="2" t="inlineStr">
        <is>
          <t>1500m Serbest</t>
        </is>
      </c>
      <c r="J68" s="2" t="inlineStr">
        <is>
          <t>17:58.22</t>
        </is>
      </c>
      <c r="K68" s="2" t="inlineStr">
        <is>
          <t>800m Serbest</t>
        </is>
      </c>
      <c r="L68" s="2" t="inlineStr">
        <is>
          <t>9:09.96</t>
        </is>
      </c>
      <c r="M68" s="2" t="inlineStr">
        <is>
          <t>400m Karışık</t>
        </is>
      </c>
      <c r="N68" s="2" t="inlineStr">
        <is>
          <t>5:08.01</t>
        </is>
      </c>
      <c r="P68" t="inlineStr">
        <is>
          <t>Muratpaşa Belediyesi Spor Kulübü</t>
        </is>
      </c>
      <c r="Q68" t="inlineStr">
        <is>
          <t>Antalya</t>
        </is>
      </c>
      <c r="R68">
        <f>Q68=B68</f>
        <v/>
      </c>
      <c r="T68">
        <f>MATCH(D68,[1]Manual!$A:$A,0)</f>
        <v/>
      </c>
    </row>
    <row r="69" ht="15.95" customHeight="1">
      <c r="A69" s="4" t="n">
        <v>68</v>
      </c>
      <c r="B69" s="4" t="inlineStr">
        <is>
          <t>Antalya</t>
        </is>
      </c>
      <c r="C69" s="5" t="inlineStr">
        <is>
          <t>Bayan</t>
        </is>
      </c>
      <c r="D69" s="5" t="inlineStr">
        <is>
          <t>Ada Güngör</t>
        </is>
      </c>
      <c r="E69" s="4" t="inlineStr">
        <is>
          <t>13</t>
        </is>
      </c>
      <c r="F69" s="4" t="inlineStr">
        <is>
          <t>18076438217</t>
        </is>
      </c>
      <c r="G69" s="4" t="inlineStr">
        <is>
          <t>100m Serbest</t>
        </is>
      </c>
      <c r="H69" s="4" t="inlineStr">
        <is>
          <t>1:04.17</t>
        </is>
      </c>
      <c r="I69" s="4" t="inlineStr">
        <is>
          <t>200m Sırtüstü</t>
        </is>
      </c>
      <c r="J69" s="4" t="inlineStr">
        <is>
          <t>2:39.33</t>
        </is>
      </c>
      <c r="K69" s="4" t="inlineStr">
        <is>
          <t>400m Serbest</t>
        </is>
      </c>
      <c r="L69" s="4" t="inlineStr">
        <is>
          <t>4:55.88</t>
        </is>
      </c>
      <c r="M69" s="4" t="inlineStr">
        <is>
          <t>400m Karışık</t>
        </is>
      </c>
      <c r="N69" s="4" t="inlineStr">
        <is>
          <t>5:36.03</t>
        </is>
      </c>
      <c r="P69" t="inlineStr">
        <is>
          <t>Manavgat Barlas Spor Kulübü</t>
        </is>
      </c>
      <c r="Q69" t="inlineStr">
        <is>
          <t>Antalya</t>
        </is>
      </c>
      <c r="R69">
        <f>Q69=B69</f>
        <v/>
      </c>
      <c r="T69">
        <f>MATCH(D69,[1]Manual!$A:$A,0)</f>
        <v/>
      </c>
    </row>
    <row r="70" ht="15.95" customHeight="1">
      <c r="A70" s="2" t="n">
        <v>69</v>
      </c>
      <c r="B70" s="2" t="inlineStr">
        <is>
          <t>Antalya</t>
        </is>
      </c>
      <c r="C70" s="3" t="inlineStr">
        <is>
          <t>Bayan</t>
        </is>
      </c>
      <c r="D70" s="3" t="inlineStr">
        <is>
          <t>Aliye PAZAR</t>
        </is>
      </c>
      <c r="E70" s="2" t="inlineStr">
        <is>
          <t>13</t>
        </is>
      </c>
      <c r="F70" s="2" t="inlineStr">
        <is>
          <t>25180167480</t>
        </is>
      </c>
      <c r="G70" s="2" t="inlineStr">
        <is>
          <t>800m Serbest</t>
        </is>
      </c>
      <c r="H70" s="2" t="inlineStr">
        <is>
          <t>10:00.44</t>
        </is>
      </c>
      <c r="I70" s="2" t="inlineStr">
        <is>
          <t>200m Karışık</t>
        </is>
      </c>
      <c r="J70" s="2" t="inlineStr">
        <is>
          <t>2:37.34</t>
        </is>
      </c>
      <c r="K70" s="2" t="inlineStr">
        <is>
          <t>1500m Serbest</t>
        </is>
      </c>
      <c r="L70" s="2" t="inlineStr">
        <is>
          <t>19:28.38</t>
        </is>
      </c>
      <c r="M70" s="2" t="inlineStr">
        <is>
          <t>400m Karışık</t>
        </is>
      </c>
      <c r="N70" s="2" t="inlineStr">
        <is>
          <t>5:32.02</t>
        </is>
      </c>
      <c r="P70" t="inlineStr">
        <is>
          <t>Alanya Gençlik ve Spor İlçe Müdürlüğü Spor Kulübü</t>
        </is>
      </c>
      <c r="Q70" t="inlineStr">
        <is>
          <t>Antalya</t>
        </is>
      </c>
      <c r="R70">
        <f>Q70=B70</f>
        <v/>
      </c>
      <c r="T70">
        <f>MATCH(D70,[1]Manual!$A:$A,0)</f>
        <v/>
      </c>
    </row>
    <row r="71" ht="15.95" customHeight="1">
      <c r="A71" s="4" t="n">
        <v>70</v>
      </c>
      <c r="B71" s="11" t="inlineStr">
        <is>
          <t>Antalya</t>
        </is>
      </c>
      <c r="C71" s="5" t="inlineStr">
        <is>
          <t>Bayan</t>
        </is>
      </c>
      <c r="D71" s="5" t="inlineStr">
        <is>
          <t>Almina SAMUR</t>
        </is>
      </c>
      <c r="E71" s="4" t="inlineStr">
        <is>
          <t>14</t>
        </is>
      </c>
      <c r="F71" s="4" t="inlineStr">
        <is>
          <t>52084007347</t>
        </is>
      </c>
      <c r="G71" s="4" t="inlineStr">
        <is>
          <t>400m Serbest</t>
        </is>
      </c>
      <c r="H71" s="4" t="inlineStr">
        <is>
          <t>4:57.68</t>
        </is>
      </c>
      <c r="I71" s="4" t="inlineStr">
        <is>
          <t>1500m Serbest</t>
        </is>
      </c>
      <c r="J71" s="4" t="inlineStr">
        <is>
          <t>20:25.27</t>
        </is>
      </c>
      <c r="K71" s="4" t="inlineStr">
        <is>
          <t>800m Serbest</t>
        </is>
      </c>
      <c r="L71" s="4" t="inlineStr">
        <is>
          <t>10:40.38</t>
        </is>
      </c>
      <c r="M71" s="4" t="inlineStr">
        <is>
          <t>200m Karışık</t>
        </is>
      </c>
      <c r="N71" s="4" t="inlineStr">
        <is>
          <t>2:50.84</t>
        </is>
      </c>
      <c r="P71" t="inlineStr">
        <is>
          <t>Antalya Faroz Spor Kulübü</t>
        </is>
      </c>
      <c r="Q71" s="10" t="inlineStr">
        <is>
          <t>Antalya</t>
        </is>
      </c>
      <c r="R71">
        <f>Q71=B71</f>
        <v/>
      </c>
      <c r="T71">
        <f>MATCH(D71,[1]Manual!$A:$A,0)</f>
        <v/>
      </c>
    </row>
    <row r="72" ht="15.95" customHeight="1">
      <c r="A72" s="2" t="n">
        <v>71</v>
      </c>
      <c r="B72" s="2" t="inlineStr">
        <is>
          <t>Antalya</t>
        </is>
      </c>
      <c r="C72" s="3" t="inlineStr">
        <is>
          <t>Bayan</t>
        </is>
      </c>
      <c r="D72" s="3" t="inlineStr">
        <is>
          <t>Asya KAPLANOĞLU</t>
        </is>
      </c>
      <c r="E72" s="2" t="inlineStr">
        <is>
          <t>14</t>
        </is>
      </c>
      <c r="F72" s="2" t="inlineStr">
        <is>
          <t>30932526543</t>
        </is>
      </c>
      <c r="G72" s="2" t="inlineStr">
        <is>
          <t>400m Serbest</t>
        </is>
      </c>
      <c r="H72" s="2" t="inlineStr">
        <is>
          <t>4:30.89</t>
        </is>
      </c>
      <c r="I72" s="2" t="inlineStr">
        <is>
          <t>1500m Serbest</t>
        </is>
      </c>
      <c r="J72" s="2" t="inlineStr">
        <is>
          <t>17:40.69</t>
        </is>
      </c>
      <c r="K72" s="2" t="inlineStr">
        <is>
          <t>800m Serbest</t>
        </is>
      </c>
      <c r="L72" s="2" t="inlineStr">
        <is>
          <t>9:26.86</t>
        </is>
      </c>
      <c r="M72" s="2" t="inlineStr">
        <is>
          <t>200m Karışık</t>
        </is>
      </c>
      <c r="N72" s="2" t="inlineStr">
        <is>
          <t>2:32.18</t>
        </is>
      </c>
      <c r="P72" t="inlineStr">
        <is>
          <t>Antalyaspor Kulübü</t>
        </is>
      </c>
      <c r="Q72" t="inlineStr">
        <is>
          <t>Antalya</t>
        </is>
      </c>
      <c r="R72">
        <f>Q72=B72</f>
        <v/>
      </c>
      <c r="T72">
        <f>MATCH(D72,[1]Manual!$A:$A,0)</f>
        <v/>
      </c>
    </row>
    <row r="73" ht="15.95" customHeight="1">
      <c r="A73" s="4" t="n">
        <v>72</v>
      </c>
      <c r="B73" s="4" t="inlineStr">
        <is>
          <t>Antalya</t>
        </is>
      </c>
      <c r="C73" s="5" t="inlineStr">
        <is>
          <t>Bayan</t>
        </is>
      </c>
      <c r="D73" s="5" t="inlineStr">
        <is>
          <t>Azra CAMBAZOĞLU</t>
        </is>
      </c>
      <c r="E73" s="4" t="inlineStr">
        <is>
          <t>14</t>
        </is>
      </c>
      <c r="F73" s="4" t="inlineStr">
        <is>
          <t>21211332912</t>
        </is>
      </c>
      <c r="G73" s="4" t="inlineStr">
        <is>
          <t>100m Serbest</t>
        </is>
      </c>
      <c r="H73" s="4" t="inlineStr">
        <is>
          <t>1:05.78</t>
        </is>
      </c>
      <c r="I73" s="4" t="inlineStr">
        <is>
          <t>1500m Serbest</t>
        </is>
      </c>
      <c r="J73" s="4" t="inlineStr">
        <is>
          <t>19:50.87</t>
        </is>
      </c>
      <c r="K73" s="4" t="inlineStr">
        <is>
          <t>800m Serbest</t>
        </is>
      </c>
      <c r="L73" s="4" t="inlineStr">
        <is>
          <t>10:17.24</t>
        </is>
      </c>
      <c r="M73" s="4" t="inlineStr">
        <is>
          <t>400m Karışık</t>
        </is>
      </c>
      <c r="N73" s="4" t="inlineStr">
        <is>
          <t>5:57.42</t>
        </is>
      </c>
      <c r="P73" t="inlineStr">
        <is>
          <t>Manavgat Barlas Spor Kulübü</t>
        </is>
      </c>
      <c r="Q73" t="inlineStr">
        <is>
          <t>Antalya</t>
        </is>
      </c>
      <c r="R73">
        <f>Q73=B73</f>
        <v/>
      </c>
      <c r="T73">
        <f>MATCH(D73,[1]Manual!$A:$A,0)</f>
        <v/>
      </c>
    </row>
    <row r="74" ht="15.95" customHeight="1">
      <c r="A74" s="2" t="n">
        <v>73</v>
      </c>
      <c r="B74" s="2" t="inlineStr">
        <is>
          <t>Antalya</t>
        </is>
      </c>
      <c r="C74" s="3" t="inlineStr">
        <is>
          <t>Bayan</t>
        </is>
      </c>
      <c r="D74" s="3" t="inlineStr">
        <is>
          <t>Blena AKÇA</t>
        </is>
      </c>
      <c r="E74" s="2" t="inlineStr">
        <is>
          <t>14</t>
        </is>
      </c>
      <c r="F74" s="2" t="inlineStr">
        <is>
          <t>31898494349</t>
        </is>
      </c>
      <c r="G74" s="2" t="inlineStr">
        <is>
          <t>400m Serbest</t>
        </is>
      </c>
      <c r="H74" s="2" t="inlineStr">
        <is>
          <t>5:01.06</t>
        </is>
      </c>
      <c r="I74" s="2" t="inlineStr">
        <is>
          <t>1500m Serbest</t>
        </is>
      </c>
      <c r="J74" s="2" t="inlineStr">
        <is>
          <t>19:44.94</t>
        </is>
      </c>
      <c r="K74" s="2" t="inlineStr">
        <is>
          <t>800m Serbest</t>
        </is>
      </c>
      <c r="L74" s="2" t="inlineStr">
        <is>
          <t>10:12.82</t>
        </is>
      </c>
      <c r="M74" s="2" t="inlineStr">
        <is>
          <t>200m Karışık</t>
        </is>
      </c>
      <c r="N74" s="2" t="inlineStr">
        <is>
          <t>2:51.29</t>
        </is>
      </c>
      <c r="P74" t="inlineStr">
        <is>
          <t>Toroslar Yüzme Spor Kulübü</t>
        </is>
      </c>
      <c r="Q74" t="inlineStr">
        <is>
          <t>Antalya</t>
        </is>
      </c>
      <c r="R74">
        <f>Q74=B74</f>
        <v/>
      </c>
      <c r="T74">
        <f>MATCH(D74,[1]Manual!$A:$A,0)</f>
        <v/>
      </c>
    </row>
    <row r="75" ht="15.95" customHeight="1">
      <c r="A75" s="4" t="n">
        <v>74</v>
      </c>
      <c r="B75" s="4" t="inlineStr">
        <is>
          <t>Antalya</t>
        </is>
      </c>
      <c r="C75" s="5" t="inlineStr">
        <is>
          <t>Bayan</t>
        </is>
      </c>
      <c r="D75" s="5" t="inlineStr">
        <is>
          <t>Defne ARLI</t>
        </is>
      </c>
      <c r="E75" s="4" t="inlineStr">
        <is>
          <t>14</t>
        </is>
      </c>
      <c r="F75" s="4" t="inlineStr">
        <is>
          <t>11322180529</t>
        </is>
      </c>
      <c r="G75" s="4" t="inlineStr">
        <is>
          <t>200m Serbest</t>
        </is>
      </c>
      <c r="H75" s="4" t="inlineStr">
        <is>
          <t>2:19.67</t>
        </is>
      </c>
      <c r="I75" s="4" t="inlineStr">
        <is>
          <t>200m Karışık</t>
        </is>
      </c>
      <c r="J75" s="4" t="inlineStr">
        <is>
          <t>2:42.18</t>
        </is>
      </c>
      <c r="K75" s="4" t="inlineStr">
        <is>
          <t>200m Sırtüstü</t>
        </is>
      </c>
      <c r="L75" s="4" t="inlineStr">
        <is>
          <t>2:38.62</t>
        </is>
      </c>
      <c r="M75" s="4" t="inlineStr">
        <is>
          <t>400m Karışık</t>
        </is>
      </c>
      <c r="N75" s="4" t="inlineStr">
        <is>
          <t>5:47.86</t>
        </is>
      </c>
      <c r="P75" t="inlineStr">
        <is>
          <t>Toroslar Yüzme Spor Kulübü</t>
        </is>
      </c>
      <c r="Q75" t="inlineStr">
        <is>
          <t>Antalya</t>
        </is>
      </c>
      <c r="R75">
        <f>Q75=B75</f>
        <v/>
      </c>
      <c r="T75">
        <f>MATCH(D75,[1]Manual!$A:$A,0)</f>
        <v/>
      </c>
    </row>
    <row r="76" ht="15.95" customHeight="1">
      <c r="A76" s="2" t="n">
        <v>75</v>
      </c>
      <c r="B76" s="2" t="inlineStr">
        <is>
          <t>Antalya</t>
        </is>
      </c>
      <c r="C76" s="3" t="inlineStr">
        <is>
          <t>Bayan</t>
        </is>
      </c>
      <c r="D76" s="3" t="inlineStr">
        <is>
          <t>Elif Rüya Canoğlu</t>
        </is>
      </c>
      <c r="E76" s="2" t="inlineStr">
        <is>
          <t>13</t>
        </is>
      </c>
      <c r="F76" s="2" t="inlineStr">
        <is>
          <t>42113153840</t>
        </is>
      </c>
      <c r="G76" s="2" t="inlineStr">
        <is>
          <t>400m Serbest</t>
        </is>
      </c>
      <c r="H76" s="2" t="inlineStr">
        <is>
          <t>4:56.19</t>
        </is>
      </c>
      <c r="I76" s="2" t="inlineStr">
        <is>
          <t>1500m Serbest</t>
        </is>
      </c>
      <c r="J76" s="2" t="inlineStr">
        <is>
          <t>19:37.79</t>
        </is>
      </c>
      <c r="K76" s="2" t="inlineStr">
        <is>
          <t>800m Serbest</t>
        </is>
      </c>
      <c r="L76" s="2" t="inlineStr">
        <is>
          <t>10:17.32</t>
        </is>
      </c>
      <c r="M76" s="2" t="inlineStr">
        <is>
          <t>200m Karışık</t>
        </is>
      </c>
      <c r="N76" s="2" t="inlineStr">
        <is>
          <t>2:45.34</t>
        </is>
      </c>
      <c r="P76" t="inlineStr">
        <is>
          <t>Toroslar Yüzme Spor Kulübü</t>
        </is>
      </c>
      <c r="Q76" t="inlineStr">
        <is>
          <t>Antalya</t>
        </is>
      </c>
      <c r="R76">
        <f>Q76=B76</f>
        <v/>
      </c>
      <c r="T76">
        <f>MATCH(D76,[1]Manual!$A:$A,0)</f>
        <v/>
      </c>
    </row>
    <row r="77" ht="15.95" customHeight="1">
      <c r="A77" s="4" t="n">
        <v>76</v>
      </c>
      <c r="B77" s="4" t="inlineStr">
        <is>
          <t>Antalya</t>
        </is>
      </c>
      <c r="C77" s="5" t="inlineStr">
        <is>
          <t>Bayan</t>
        </is>
      </c>
      <c r="D77" s="5" t="inlineStr">
        <is>
          <t>Peri USLU</t>
        </is>
      </c>
      <c r="E77" s="4" t="inlineStr">
        <is>
          <t>14</t>
        </is>
      </c>
      <c r="F77" s="4" t="inlineStr">
        <is>
          <t>45145750417</t>
        </is>
      </c>
      <c r="G77" s="4" t="inlineStr">
        <is>
          <t>100m Serbest</t>
        </is>
      </c>
      <c r="H77" s="4" t="inlineStr">
        <is>
          <t>1:00.60</t>
        </is>
      </c>
      <c r="I77" s="4" t="inlineStr">
        <is>
          <t>100m Sırtüstü</t>
        </is>
      </c>
      <c r="J77" s="4" t="inlineStr">
        <is>
          <t>1:09.27</t>
        </is>
      </c>
      <c r="K77" s="4" t="inlineStr">
        <is>
          <t>200m Serbest</t>
        </is>
      </c>
      <c r="L77" s="4" t="inlineStr">
        <is>
          <t>2:10.55</t>
        </is>
      </c>
      <c r="M77" s="4" t="inlineStr">
        <is>
          <t>200m Sırtüstü</t>
        </is>
      </c>
      <c r="N77" s="4" t="inlineStr">
        <is>
          <t>2:33.36</t>
        </is>
      </c>
      <c r="P77" t="inlineStr">
        <is>
          <t>Kulac Yüzme İhtisas Spor Kulübü</t>
        </is>
      </c>
      <c r="Q77" t="inlineStr">
        <is>
          <t>Antalya</t>
        </is>
      </c>
      <c r="R77">
        <f>Q77=B77</f>
        <v/>
      </c>
      <c r="T77">
        <f>MATCH(D77,[1]Manual!$A:$A,0)</f>
        <v/>
      </c>
    </row>
    <row r="78" ht="15.95" customHeight="1">
      <c r="A78" s="2" t="n">
        <v>77</v>
      </c>
      <c r="B78" s="2" t="inlineStr">
        <is>
          <t>Antalya</t>
        </is>
      </c>
      <c r="C78" s="3" t="inlineStr">
        <is>
          <t>Bayan</t>
        </is>
      </c>
      <c r="D78" s="3" t="inlineStr">
        <is>
          <t>Yağmur ADALIYILMAZ</t>
        </is>
      </c>
      <c r="E78" s="2" t="inlineStr">
        <is>
          <t>14</t>
        </is>
      </c>
      <c r="F78" s="2" t="inlineStr">
        <is>
          <t>24755732449</t>
        </is>
      </c>
      <c r="G78" s="2" t="inlineStr">
        <is>
          <t>400m Serbest</t>
        </is>
      </c>
      <c r="H78" s="2" t="inlineStr">
        <is>
          <t>5:00.10</t>
        </is>
      </c>
      <c r="I78" s="2" t="inlineStr">
        <is>
          <t>1500m Serbest</t>
        </is>
      </c>
      <c r="J78" s="2" t="inlineStr">
        <is>
          <t>19:25.86</t>
        </is>
      </c>
      <c r="K78" s="2" t="inlineStr">
        <is>
          <t>800m Serbest</t>
        </is>
      </c>
      <c r="L78" s="2" t="inlineStr">
        <is>
          <t>10:18.27</t>
        </is>
      </c>
      <c r="M78" s="2" t="inlineStr">
        <is>
          <t>200m Karışık</t>
        </is>
      </c>
      <c r="N78" s="2" t="inlineStr">
        <is>
          <t>2:44.85</t>
        </is>
      </c>
      <c r="P78" t="inlineStr">
        <is>
          <t>Muratpaşa Belediyesi Spor Kulübü</t>
        </is>
      </c>
      <c r="Q78" t="inlineStr">
        <is>
          <t>Antalya</t>
        </is>
      </c>
      <c r="R78">
        <f>Q78=B78</f>
        <v/>
      </c>
      <c r="T78">
        <f>MATCH(D78,[1]Manual!$A:$A,0)</f>
        <v/>
      </c>
    </row>
    <row r="79" ht="15.95" customHeight="1">
      <c r="A79" s="4" t="n">
        <v>78</v>
      </c>
      <c r="B79" s="4" t="inlineStr">
        <is>
          <t>Bolu</t>
        </is>
      </c>
      <c r="C79" s="5" t="inlineStr">
        <is>
          <t>Erkek</t>
        </is>
      </c>
      <c r="D79" s="5" t="inlineStr">
        <is>
          <t>Enes Kayra Söğüt</t>
        </is>
      </c>
      <c r="E79" s="4" t="inlineStr">
        <is>
          <t>13</t>
        </is>
      </c>
      <c r="F79" s="4" t="inlineStr">
        <is>
          <t>24241442417</t>
        </is>
      </c>
      <c r="G79" s="4" t="inlineStr">
        <is>
          <t>100m Serbest</t>
        </is>
      </c>
      <c r="H79" s="4" t="inlineStr">
        <is>
          <t>1:03.21</t>
        </is>
      </c>
      <c r="I79" s="4" t="inlineStr">
        <is>
          <t>100m Kelebek</t>
        </is>
      </c>
      <c r="J79" s="4" t="inlineStr">
        <is>
          <t>1:07.40</t>
        </is>
      </c>
      <c r="K79" s="4" t="inlineStr">
        <is>
          <t>200m Serbest</t>
        </is>
      </c>
      <c r="L79" s="4" t="inlineStr">
        <is>
          <t>2:19.26</t>
        </is>
      </c>
      <c r="M79" s="4" t="inlineStr">
        <is>
          <t>200m Kelebek</t>
        </is>
      </c>
      <c r="N79" s="4" t="inlineStr">
        <is>
          <t>2:59.61</t>
        </is>
      </c>
      <c r="P79" t="inlineStr">
        <is>
          <t>Bolu Gençlik ve Spor İl Müdürlüğü Spor Kulübü</t>
        </is>
      </c>
      <c r="Q79" t="inlineStr">
        <is>
          <t>Bolu</t>
        </is>
      </c>
      <c r="R79">
        <f>Q79=B79</f>
        <v/>
      </c>
      <c r="T79">
        <f>MATCH(D79,[1]Manual!$A:$A,0)</f>
        <v/>
      </c>
    </row>
    <row r="80" ht="15.95" customHeight="1">
      <c r="A80" s="2" t="n">
        <v>79</v>
      </c>
      <c r="B80" s="2" t="inlineStr">
        <is>
          <t>Bolu</t>
        </is>
      </c>
      <c r="C80" s="3" t="inlineStr">
        <is>
          <t>Erkek</t>
        </is>
      </c>
      <c r="D80" s="3" t="inlineStr">
        <is>
          <t>Kadir Ensar KOCADAŞ</t>
        </is>
      </c>
      <c r="E80" s="2" t="inlineStr">
        <is>
          <t>14</t>
        </is>
      </c>
      <c r="F80" s="2" t="inlineStr">
        <is>
          <t>20470567510</t>
        </is>
      </c>
      <c r="G80" s="2" t="inlineStr">
        <is>
          <t>100m Serbest</t>
        </is>
      </c>
      <c r="H80" s="2" t="inlineStr">
        <is>
          <t>1:06.74</t>
        </is>
      </c>
      <c r="I80" s="2" t="inlineStr">
        <is>
          <t>200m Kelebek</t>
        </is>
      </c>
      <c r="J80" s="2" t="inlineStr">
        <is>
          <t>3:15.79</t>
        </is>
      </c>
      <c r="K80" s="2" t="inlineStr">
        <is>
          <t>200m Kurbağalama</t>
        </is>
      </c>
      <c r="L80" s="2" t="inlineStr">
        <is>
          <t>3:16.09</t>
        </is>
      </c>
      <c r="M80" s="2" t="inlineStr">
        <is>
          <t>400m Karışık</t>
        </is>
      </c>
      <c r="N80" s="2" t="inlineStr">
        <is>
          <t>NT</t>
        </is>
      </c>
      <c r="P80" t="inlineStr">
        <is>
          <t>Bolu Yüzme Spor Kulübü</t>
        </is>
      </c>
      <c r="Q80" t="inlineStr">
        <is>
          <t>Bolu</t>
        </is>
      </c>
      <c r="R80">
        <f>Q80=B80</f>
        <v/>
      </c>
      <c r="T80">
        <f>MATCH(D80,[1]Manual!$A:$A,0)</f>
        <v/>
      </c>
    </row>
    <row r="81" ht="15.95" customHeight="1">
      <c r="A81" s="4" t="n">
        <v>80</v>
      </c>
      <c r="B81" s="4" t="inlineStr">
        <is>
          <t>Bursa</t>
        </is>
      </c>
      <c r="C81" s="5" t="inlineStr">
        <is>
          <t>Erkek</t>
        </is>
      </c>
      <c r="D81" s="5" t="inlineStr">
        <is>
          <t>Ahmet KOŞUM</t>
        </is>
      </c>
      <c r="E81" s="4" t="inlineStr">
        <is>
          <t>10</t>
        </is>
      </c>
      <c r="F81" s="4" t="inlineStr">
        <is>
          <t>33544184319</t>
        </is>
      </c>
      <c r="G81" s="4" t="inlineStr">
        <is>
          <t>100m Serbest</t>
        </is>
      </c>
      <c r="H81" s="4" t="inlineStr">
        <is>
          <t>54.33</t>
        </is>
      </c>
      <c r="I81" s="4" t="inlineStr">
        <is>
          <t>100m Sırtüstü</t>
        </is>
      </c>
      <c r="J81" s="4" t="inlineStr">
        <is>
          <t>1:01.13</t>
        </is>
      </c>
      <c r="K81" s="4" t="inlineStr">
        <is>
          <t>50m Sırtüstü</t>
        </is>
      </c>
      <c r="L81" s="4" t="inlineStr">
        <is>
          <t>27.61</t>
        </is>
      </c>
      <c r="M81" s="4" t="inlineStr">
        <is>
          <t>50m Kelebek</t>
        </is>
      </c>
      <c r="N81" s="4" t="inlineStr">
        <is>
          <t>25.73</t>
        </is>
      </c>
      <c r="P81" s="12" t="inlineStr">
        <is>
          <t>Uludağ Oksijen Spor Kulübü</t>
        </is>
      </c>
      <c r="Q81" s="12" t="inlineStr">
        <is>
          <t>Bursa</t>
        </is>
      </c>
      <c r="R81">
        <f>Q81=B81</f>
        <v/>
      </c>
      <c r="T81">
        <f>MATCH(D81,[1]Manual!$A:$A,0)</f>
        <v/>
      </c>
    </row>
    <row r="82" ht="15.95" customHeight="1">
      <c r="A82" s="2" t="n">
        <v>81</v>
      </c>
      <c r="B82" s="2" t="inlineStr">
        <is>
          <t>Bursa</t>
        </is>
      </c>
      <c r="C82" s="3" t="inlineStr">
        <is>
          <t>Erkek</t>
        </is>
      </c>
      <c r="D82" s="3" t="inlineStr">
        <is>
          <t>Barbaros KONUŞ</t>
        </is>
      </c>
      <c r="E82" s="2" t="inlineStr">
        <is>
          <t>14</t>
        </is>
      </c>
      <c r="F82" s="2" t="inlineStr">
        <is>
          <t>30361318310</t>
        </is>
      </c>
      <c r="G82" s="2" t="inlineStr">
        <is>
          <t>100m Serbest</t>
        </is>
      </c>
      <c r="H82" s="2" t="inlineStr">
        <is>
          <t>1:06.25</t>
        </is>
      </c>
      <c r="I82" s="2" t="inlineStr">
        <is>
          <t>200m Sırtüstü</t>
        </is>
      </c>
      <c r="J82" s="2" t="inlineStr">
        <is>
          <t>2:39.56</t>
        </is>
      </c>
      <c r="K82" s="2" t="inlineStr">
        <is>
          <t>100m Sırtüstü</t>
        </is>
      </c>
      <c r="L82" s="2" t="inlineStr">
        <is>
          <t>1:13.34</t>
        </is>
      </c>
      <c r="M82" s="2" t="inlineStr">
        <is>
          <t>100m Kelebek</t>
        </is>
      </c>
      <c r="N82" s="2" t="inlineStr">
        <is>
          <t>1:12.75</t>
        </is>
      </c>
      <c r="P82" t="inlineStr">
        <is>
          <t>Bosch Spor Kulübü</t>
        </is>
      </c>
      <c r="Q82" t="inlineStr">
        <is>
          <t>Bursa</t>
        </is>
      </c>
      <c r="R82">
        <f>Q82=B82</f>
        <v/>
      </c>
      <c r="T82">
        <f>MATCH(D82,[1]Manual!$A:$A,0)</f>
        <v/>
      </c>
    </row>
    <row r="83" ht="15.95" customHeight="1">
      <c r="A83" s="4" t="n">
        <v>82</v>
      </c>
      <c r="B83" s="4" t="inlineStr">
        <is>
          <t>Bursa</t>
        </is>
      </c>
      <c r="C83" s="5" t="inlineStr">
        <is>
          <t>Erkek</t>
        </is>
      </c>
      <c r="D83" s="5" t="inlineStr">
        <is>
          <t>Batın Kıvanç KURTULUŞ</t>
        </is>
      </c>
      <c r="E83" s="4" t="inlineStr">
        <is>
          <t>08</t>
        </is>
      </c>
      <c r="F83" s="4" t="inlineStr">
        <is>
          <t>12859872854</t>
        </is>
      </c>
      <c r="G83" s="4" t="inlineStr">
        <is>
          <t>50m Serbest</t>
        </is>
      </c>
      <c r="H83" s="4" t="inlineStr">
        <is>
          <t>24.55</t>
        </is>
      </c>
      <c r="I83" s="4" t="inlineStr">
        <is>
          <t>50m Kelebek</t>
        </is>
      </c>
      <c r="J83" s="4" t="inlineStr">
        <is>
          <t>26.99</t>
        </is>
      </c>
      <c r="K83" s="4" t="inlineStr">
        <is>
          <t>100m Serbest</t>
        </is>
      </c>
      <c r="L83" s="4" t="inlineStr">
        <is>
          <t>52.65</t>
        </is>
      </c>
      <c r="M83" s="4" t="inlineStr">
        <is>
          <t>100m Kelebek</t>
        </is>
      </c>
      <c r="N83" s="4" t="inlineStr">
        <is>
          <t>58.37</t>
        </is>
      </c>
      <c r="P83" s="6" t="inlineStr">
        <is>
          <t>Bosch Spor Kulübü</t>
        </is>
      </c>
      <c r="Q83" s="6" t="inlineStr">
        <is>
          <t>Bursa</t>
        </is>
      </c>
      <c r="R83">
        <f>Q83=B83</f>
        <v/>
      </c>
      <c r="T83">
        <f>MATCH(D83,[1]Manual!$A:$A,0)</f>
        <v/>
      </c>
    </row>
    <row r="84" ht="15.95" customHeight="1">
      <c r="A84" s="2" t="n">
        <v>83</v>
      </c>
      <c r="B84" s="2" t="inlineStr">
        <is>
          <t>Bursa</t>
        </is>
      </c>
      <c r="C84" s="3" t="inlineStr">
        <is>
          <t>Erkek</t>
        </is>
      </c>
      <c r="D84" s="3" t="inlineStr">
        <is>
          <t>Berat PALA</t>
        </is>
      </c>
      <c r="E84" s="2" t="inlineStr">
        <is>
          <t>14</t>
        </is>
      </c>
      <c r="F84" s="2" t="inlineStr">
        <is>
          <t>25171481746</t>
        </is>
      </c>
      <c r="G84" s="2" t="inlineStr">
        <is>
          <t>400m Serbest</t>
        </is>
      </c>
      <c r="H84" s="2" t="inlineStr">
        <is>
          <t>5:04.96</t>
        </is>
      </c>
      <c r="I84" s="2" t="inlineStr">
        <is>
          <t>1500m Serbest</t>
        </is>
      </c>
      <c r="J84" s="2" t="inlineStr">
        <is>
          <t>23:03.93</t>
        </is>
      </c>
      <c r="K84" s="2" t="inlineStr">
        <is>
          <t>800m Serbest</t>
        </is>
      </c>
      <c r="L84" s="2" t="inlineStr">
        <is>
          <t>11:22.80</t>
        </is>
      </c>
      <c r="M84" s="2" t="inlineStr">
        <is>
          <t>200m Karışık</t>
        </is>
      </c>
      <c r="N84" s="2" t="inlineStr">
        <is>
          <t>2:48.39</t>
        </is>
      </c>
      <c r="P84" t="inlineStr">
        <is>
          <t>Uludağ Oksijen Spor Kulübü</t>
        </is>
      </c>
      <c r="Q84" t="inlineStr">
        <is>
          <t>Bursa</t>
        </is>
      </c>
      <c r="R84">
        <f>Q84=B84</f>
        <v/>
      </c>
      <c r="T84">
        <f>MATCH(D84,[1]Manual!$A:$A,0)</f>
        <v/>
      </c>
    </row>
    <row r="85" ht="15.95" customHeight="1">
      <c r="A85" s="4" t="n">
        <v>84</v>
      </c>
      <c r="B85" s="4" t="inlineStr">
        <is>
          <t>Bursa</t>
        </is>
      </c>
      <c r="C85" s="5" t="inlineStr">
        <is>
          <t>Erkek</t>
        </is>
      </c>
      <c r="D85" s="5" t="inlineStr">
        <is>
          <t>Can KINABAŞ</t>
        </is>
      </c>
      <c r="E85" s="4" t="inlineStr">
        <is>
          <t>14</t>
        </is>
      </c>
      <c r="F85" s="4" t="inlineStr">
        <is>
          <t>23116511321</t>
        </is>
      </c>
      <c r="G85" s="4" t="inlineStr">
        <is>
          <t>200m Serbest</t>
        </is>
      </c>
      <c r="H85" s="4" t="inlineStr">
        <is>
          <t>2:15.15</t>
        </is>
      </c>
      <c r="I85" s="4" t="inlineStr">
        <is>
          <t>800m Serbest</t>
        </is>
      </c>
      <c r="J85" s="4" t="inlineStr">
        <is>
          <t>9:56.97</t>
        </is>
      </c>
      <c r="K85" s="4" t="inlineStr">
        <is>
          <t>400m Serbest</t>
        </is>
      </c>
      <c r="L85" s="4" t="inlineStr">
        <is>
          <t>4:40.63</t>
        </is>
      </c>
      <c r="M85" s="4" t="inlineStr">
        <is>
          <t>1500m Serbest</t>
        </is>
      </c>
      <c r="N85" s="4" t="inlineStr">
        <is>
          <t>18:58.44</t>
        </is>
      </c>
      <c r="P85" t="inlineStr">
        <is>
          <t>Ortakçı Spor Kulübü</t>
        </is>
      </c>
      <c r="Q85" t="inlineStr">
        <is>
          <t>Bursa</t>
        </is>
      </c>
      <c r="R85">
        <f>Q85=B85</f>
        <v/>
      </c>
      <c r="T85">
        <f>MATCH(D85,[1]Manual!$A:$A,0)</f>
        <v/>
      </c>
    </row>
    <row r="86" ht="15.95" customHeight="1">
      <c r="A86" s="2" t="n">
        <v>85</v>
      </c>
      <c r="B86" s="2" t="inlineStr">
        <is>
          <t>Bursa</t>
        </is>
      </c>
      <c r="C86" s="3" t="inlineStr">
        <is>
          <t>Erkek</t>
        </is>
      </c>
      <c r="D86" s="3" t="inlineStr">
        <is>
          <t>Eymen KUTLU</t>
        </is>
      </c>
      <c r="E86" s="2" t="inlineStr">
        <is>
          <t>14</t>
        </is>
      </c>
      <c r="F86" s="2" t="inlineStr">
        <is>
          <t>23908483049</t>
        </is>
      </c>
      <c r="G86" s="2" t="inlineStr">
        <is>
          <t>400m Serbest</t>
        </is>
      </c>
      <c r="H86" s="2" t="inlineStr">
        <is>
          <t>4:51.79</t>
        </is>
      </c>
      <c r="I86" s="2" t="inlineStr">
        <is>
          <t>1500m Serbest</t>
        </is>
      </c>
      <c r="J86" s="2" t="inlineStr">
        <is>
          <t>19:40.77</t>
        </is>
      </c>
      <c r="K86" s="2" t="inlineStr">
        <is>
          <t>800m Serbest</t>
        </is>
      </c>
      <c r="L86" s="2" t="inlineStr">
        <is>
          <t>10:07.14</t>
        </is>
      </c>
      <c r="M86" s="2" t="inlineStr">
        <is>
          <t>200m Karışık</t>
        </is>
      </c>
      <c r="N86" s="2" t="inlineStr">
        <is>
          <t>2:46.54</t>
        </is>
      </c>
      <c r="P86" t="inlineStr">
        <is>
          <t>Ortakçı Spor Kulübü</t>
        </is>
      </c>
      <c r="Q86" t="inlineStr">
        <is>
          <t>Bursa</t>
        </is>
      </c>
      <c r="R86">
        <f>Q86=B86</f>
        <v/>
      </c>
      <c r="T86">
        <f>MATCH(D86,[1]Manual!$A:$A,0)</f>
        <v/>
      </c>
    </row>
    <row r="87" ht="15.95" customHeight="1">
      <c r="A87" s="4" t="n">
        <v>86</v>
      </c>
      <c r="B87" s="4" t="inlineStr">
        <is>
          <t>Bursa</t>
        </is>
      </c>
      <c r="C87" s="5" t="inlineStr">
        <is>
          <t>Erkek</t>
        </is>
      </c>
      <c r="D87" s="5" t="inlineStr">
        <is>
          <t>Kadir Eymen AKSU</t>
        </is>
      </c>
      <c r="E87" s="4" t="inlineStr">
        <is>
          <t>12</t>
        </is>
      </c>
      <c r="F87" s="4" t="inlineStr">
        <is>
          <t>15517757551</t>
        </is>
      </c>
      <c r="G87" s="4" t="inlineStr">
        <is>
          <t>50m Serbest</t>
        </is>
      </c>
      <c r="H87" s="4" t="inlineStr">
        <is>
          <t>27.83</t>
        </is>
      </c>
      <c r="I87" s="4" t="inlineStr">
        <is>
          <t>100m Kurbağalama</t>
        </is>
      </c>
      <c r="J87" s="4" t="inlineStr">
        <is>
          <t>1:09.37</t>
        </is>
      </c>
      <c r="K87" s="4" t="inlineStr">
        <is>
          <t>50m Kurbağalama</t>
        </is>
      </c>
      <c r="L87" s="4" t="inlineStr">
        <is>
          <t>32.51</t>
        </is>
      </c>
      <c r="M87" s="4" t="inlineStr">
        <is>
          <t>200m Kurbağalama</t>
        </is>
      </c>
      <c r="N87" s="4" t="inlineStr">
        <is>
          <t>2:30.92</t>
        </is>
      </c>
      <c r="P87" t="inlineStr">
        <is>
          <t>Bursa Büyükşehir Belediye Spor Kulübü</t>
        </is>
      </c>
      <c r="Q87" t="inlineStr">
        <is>
          <t>Bursa</t>
        </is>
      </c>
      <c r="R87">
        <f>Q87=B87</f>
        <v/>
      </c>
      <c r="T87">
        <f>MATCH(D87,[1]Manual!$A:$A,0)</f>
        <v/>
      </c>
    </row>
    <row r="88" ht="15.95" customHeight="1">
      <c r="A88" s="2" t="n">
        <v>87</v>
      </c>
      <c r="B88" s="2" t="inlineStr">
        <is>
          <t>Bursa</t>
        </is>
      </c>
      <c r="C88" s="3" t="inlineStr">
        <is>
          <t>Erkek</t>
        </is>
      </c>
      <c r="D88" s="3" t="inlineStr">
        <is>
          <t>Kağan KOÇUK</t>
        </is>
      </c>
      <c r="E88" s="2" t="inlineStr">
        <is>
          <t>11</t>
        </is>
      </c>
      <c r="F88" s="2" t="inlineStr">
        <is>
          <t>32146220658</t>
        </is>
      </c>
      <c r="G88" s="2" t="inlineStr">
        <is>
          <t>50m Sırtüstü</t>
        </is>
      </c>
      <c r="H88" s="2" t="inlineStr">
        <is>
          <t>29.15</t>
        </is>
      </c>
      <c r="I88" s="2" t="inlineStr">
        <is>
          <t>200m Sırtüstü</t>
        </is>
      </c>
      <c r="J88" s="2" t="inlineStr">
        <is>
          <t>2:17.93</t>
        </is>
      </c>
      <c r="K88" s="2" t="inlineStr">
        <is>
          <t>100m Sırtüstü</t>
        </is>
      </c>
      <c r="L88" s="2" t="inlineStr">
        <is>
          <t>1:03.19</t>
        </is>
      </c>
      <c r="M88" s="2" t="n"/>
      <c r="N88" s="2" t="inlineStr">
        <is>
          <t>NT</t>
        </is>
      </c>
      <c r="P88" t="inlineStr">
        <is>
          <t>Bursa Büyükşehir Belediye Spor Kulübü</t>
        </is>
      </c>
      <c r="Q88" t="inlineStr">
        <is>
          <t>Bursa</t>
        </is>
      </c>
      <c r="R88">
        <f>Q88=B88</f>
        <v/>
      </c>
      <c r="T88">
        <f>MATCH(D88,[1]Manual!$A:$A,0)</f>
        <v/>
      </c>
    </row>
    <row r="89" ht="15.95" customHeight="1">
      <c r="A89" s="4" t="n">
        <v>88</v>
      </c>
      <c r="B89" s="4" t="inlineStr">
        <is>
          <t>Bursa</t>
        </is>
      </c>
      <c r="C89" s="5" t="inlineStr">
        <is>
          <t>Erkek</t>
        </is>
      </c>
      <c r="D89" s="5" t="inlineStr">
        <is>
          <t>Mehmet DAVER</t>
        </is>
      </c>
      <c r="E89" s="4" t="inlineStr">
        <is>
          <t>14</t>
        </is>
      </c>
      <c r="F89" s="4" t="inlineStr">
        <is>
          <t>14143849543</t>
        </is>
      </c>
      <c r="G89" s="4" t="inlineStr">
        <is>
          <t>400m Serbest</t>
        </is>
      </c>
      <c r="H89" s="4" t="inlineStr">
        <is>
          <t>5:11.47</t>
        </is>
      </c>
      <c r="I89" s="4" t="inlineStr">
        <is>
          <t>200m Kelebek</t>
        </is>
      </c>
      <c r="J89" s="4" t="inlineStr">
        <is>
          <t>NT</t>
        </is>
      </c>
      <c r="K89" s="4" t="inlineStr">
        <is>
          <t>100m Kelebek</t>
        </is>
      </c>
      <c r="L89" s="4" t="inlineStr">
        <is>
          <t>1:16.43</t>
        </is>
      </c>
      <c r="M89" s="4" t="inlineStr">
        <is>
          <t>200m Karışık</t>
        </is>
      </c>
      <c r="N89" s="4" t="inlineStr">
        <is>
          <t>2:49.59</t>
        </is>
      </c>
      <c r="P89" t="inlineStr">
        <is>
          <t>Uludağ Oksijen Spor Kulübü</t>
        </is>
      </c>
      <c r="Q89" t="inlineStr">
        <is>
          <t>Bursa</t>
        </is>
      </c>
      <c r="R89">
        <f>Q89=B89</f>
        <v/>
      </c>
      <c r="T89">
        <f>MATCH(D89,[1]Manual!$A:$A,0)</f>
        <v/>
      </c>
    </row>
    <row r="90" ht="15.95" customHeight="1">
      <c r="A90" s="2" t="n">
        <v>89</v>
      </c>
      <c r="B90" s="2" t="inlineStr">
        <is>
          <t>Bursa</t>
        </is>
      </c>
      <c r="C90" s="3" t="inlineStr">
        <is>
          <t>Erkek</t>
        </is>
      </c>
      <c r="D90" s="3" t="inlineStr">
        <is>
          <t>Miraç Efe KARGIN</t>
        </is>
      </c>
      <c r="E90" s="2" t="inlineStr">
        <is>
          <t>11</t>
        </is>
      </c>
      <c r="F90" s="2" t="inlineStr">
        <is>
          <t>24853501016</t>
        </is>
      </c>
      <c r="G90" s="2" t="inlineStr">
        <is>
          <t>100m Sırtüstü</t>
        </is>
      </c>
      <c r="H90" s="2" t="inlineStr">
        <is>
          <t>1:02.92</t>
        </is>
      </c>
      <c r="I90" s="2" t="inlineStr">
        <is>
          <t>100m Kelebek</t>
        </is>
      </c>
      <c r="J90" s="2" t="inlineStr">
        <is>
          <t>1:01.03</t>
        </is>
      </c>
      <c r="K90" s="2" t="inlineStr">
        <is>
          <t>200m Sırtüstü</t>
        </is>
      </c>
      <c r="L90" s="2" t="inlineStr">
        <is>
          <t>2:16.68</t>
        </is>
      </c>
      <c r="M90" s="2" t="inlineStr">
        <is>
          <t>200m Kelebek</t>
        </is>
      </c>
      <c r="N90" s="2" t="inlineStr">
        <is>
          <t>2:13.32</t>
        </is>
      </c>
      <c r="P90" t="inlineStr">
        <is>
          <t>Uludağ Oksijen Spor Kulübü</t>
        </is>
      </c>
      <c r="Q90" t="inlineStr">
        <is>
          <t>Bursa</t>
        </is>
      </c>
      <c r="R90">
        <f>Q90=B90</f>
        <v/>
      </c>
      <c r="T90">
        <f>MATCH(D90,[1]Manual!$A:$A,0)</f>
        <v/>
      </c>
    </row>
    <row r="91" ht="15.95" customHeight="1">
      <c r="A91" s="4" t="n">
        <v>90</v>
      </c>
      <c r="B91" s="4" t="inlineStr">
        <is>
          <t>Bursa</t>
        </is>
      </c>
      <c r="C91" s="5" t="inlineStr">
        <is>
          <t>Erkek</t>
        </is>
      </c>
      <c r="D91" s="5" t="inlineStr">
        <is>
          <t>Poyraz ARABACI</t>
        </is>
      </c>
      <c r="E91" s="4" t="inlineStr">
        <is>
          <t>10</t>
        </is>
      </c>
      <c r="F91" s="4" t="inlineStr">
        <is>
          <t>39310008850</t>
        </is>
      </c>
      <c r="G91" s="4" t="inlineStr">
        <is>
          <t>50m Serbest</t>
        </is>
      </c>
      <c r="H91" s="4" t="inlineStr">
        <is>
          <t>24.64</t>
        </is>
      </c>
      <c r="I91" s="4" t="inlineStr">
        <is>
          <t>50m Kelebek</t>
        </is>
      </c>
      <c r="J91" s="4" t="inlineStr">
        <is>
          <t>25.40</t>
        </is>
      </c>
      <c r="K91" s="4" t="inlineStr">
        <is>
          <t>100m Serbest</t>
        </is>
      </c>
      <c r="L91" s="4" t="inlineStr">
        <is>
          <t>53.11</t>
        </is>
      </c>
      <c r="M91" s="4" t="inlineStr">
        <is>
          <t>100m Kelebek</t>
        </is>
      </c>
      <c r="N91" s="4" t="inlineStr">
        <is>
          <t>56.43</t>
        </is>
      </c>
      <c r="P91" s="12" t="inlineStr">
        <is>
          <t>Uludağ Oksijen Spor Kulübü</t>
        </is>
      </c>
      <c r="Q91" s="12" t="inlineStr">
        <is>
          <t>Bursa</t>
        </is>
      </c>
      <c r="R91">
        <f>Q91=B91</f>
        <v/>
      </c>
      <c r="T91">
        <f>MATCH(D91,[1]Manual!$A:$A,0)</f>
        <v/>
      </c>
    </row>
    <row r="92" ht="15.95" customHeight="1">
      <c r="A92" s="2" t="n">
        <v>91</v>
      </c>
      <c r="B92" s="2" t="inlineStr">
        <is>
          <t>Bursa</t>
        </is>
      </c>
      <c r="C92" s="3" t="inlineStr">
        <is>
          <t>Erkek</t>
        </is>
      </c>
      <c r="D92" s="3" t="inlineStr">
        <is>
          <t>Rüzgar Batu ALTAY</t>
        </is>
      </c>
      <c r="E92" s="2" t="inlineStr">
        <is>
          <t>09</t>
        </is>
      </c>
      <c r="F92" s="2" t="inlineStr">
        <is>
          <t>20983615317</t>
        </is>
      </c>
      <c r="G92" s="2" t="inlineStr">
        <is>
          <t>100m Serbest</t>
        </is>
      </c>
      <c r="H92" s="2" t="inlineStr">
        <is>
          <t>53.64</t>
        </is>
      </c>
      <c r="I92" s="2" t="inlineStr">
        <is>
          <t>400m Serbest</t>
        </is>
      </c>
      <c r="J92" s="2" t="inlineStr">
        <is>
          <t>4:04.48</t>
        </is>
      </c>
      <c r="K92" s="2" t="inlineStr">
        <is>
          <t>200m Serbest</t>
        </is>
      </c>
      <c r="L92" s="2" t="inlineStr">
        <is>
          <t>1:55.52</t>
        </is>
      </c>
      <c r="M92" s="2" t="inlineStr">
        <is>
          <t>800m Serbest</t>
        </is>
      </c>
      <c r="N92" s="2" t="inlineStr">
        <is>
          <t>8:29.08</t>
        </is>
      </c>
      <c r="P92" s="12" t="inlineStr">
        <is>
          <t>Uludağ Oksijen Spor Kulübü</t>
        </is>
      </c>
      <c r="Q92" s="12" t="inlineStr">
        <is>
          <t>Bursa</t>
        </is>
      </c>
      <c r="R92">
        <f>Q92=B92</f>
        <v/>
      </c>
      <c r="T92">
        <f>MATCH(D92,[1]Manual!$A:$A,0)</f>
        <v/>
      </c>
    </row>
    <row r="93" ht="15.95" customHeight="1">
      <c r="A93" s="4" t="n">
        <v>92</v>
      </c>
      <c r="B93" s="4" t="inlineStr">
        <is>
          <t>Bursa</t>
        </is>
      </c>
      <c r="C93" s="5" t="inlineStr">
        <is>
          <t>Erkek</t>
        </is>
      </c>
      <c r="D93" s="5" t="inlineStr">
        <is>
          <t>Utku KARAKAŞ</t>
        </is>
      </c>
      <c r="E93" s="4" t="inlineStr">
        <is>
          <t>14</t>
        </is>
      </c>
      <c r="F93" s="4" t="inlineStr">
        <is>
          <t>15016829612</t>
        </is>
      </c>
      <c r="G93" s="4" t="inlineStr">
        <is>
          <t>100m Kelebek</t>
        </is>
      </c>
      <c r="H93" s="4" t="inlineStr">
        <is>
          <t>1:10.48</t>
        </is>
      </c>
      <c r="I93" s="4" t="inlineStr">
        <is>
          <t>200m Karışık</t>
        </is>
      </c>
      <c r="J93" s="4" t="inlineStr">
        <is>
          <t>2:33.49</t>
        </is>
      </c>
      <c r="K93" s="4" t="inlineStr">
        <is>
          <t>200m Kelebek</t>
        </is>
      </c>
      <c r="L93" s="4" t="inlineStr">
        <is>
          <t>NT</t>
        </is>
      </c>
      <c r="M93" s="4" t="inlineStr">
        <is>
          <t>400m Karışık</t>
        </is>
      </c>
      <c r="N93" s="4" t="inlineStr">
        <is>
          <t>NT</t>
        </is>
      </c>
      <c r="P93" t="inlineStr">
        <is>
          <t>Uludağ Oksijen Spor Kulübü</t>
        </is>
      </c>
      <c r="Q93" t="inlineStr">
        <is>
          <t>Bursa</t>
        </is>
      </c>
      <c r="R93">
        <f>Q93=B93</f>
        <v/>
      </c>
      <c r="T93">
        <f>MATCH(D93,[1]Manual!$A:$A,0)</f>
        <v/>
      </c>
    </row>
    <row r="94" ht="15.95" customHeight="1">
      <c r="A94" s="2" t="n">
        <v>93</v>
      </c>
      <c r="B94" s="2" t="inlineStr">
        <is>
          <t>Bursa</t>
        </is>
      </c>
      <c r="C94" s="3" t="inlineStr">
        <is>
          <t>Erkek</t>
        </is>
      </c>
      <c r="D94" s="3" t="inlineStr">
        <is>
          <t>Yavuz AKDAĞ</t>
        </is>
      </c>
      <c r="E94" s="2" t="inlineStr">
        <is>
          <t>14</t>
        </is>
      </c>
      <c r="F94" s="2" t="inlineStr">
        <is>
          <t>60778528215</t>
        </is>
      </c>
      <c r="G94" s="2" t="inlineStr">
        <is>
          <t>100m Kelebek</t>
        </is>
      </c>
      <c r="H94" s="2" t="inlineStr">
        <is>
          <t>1:08.59</t>
        </is>
      </c>
      <c r="I94" s="2" t="inlineStr">
        <is>
          <t>200m Karışık</t>
        </is>
      </c>
      <c r="J94" s="2" t="inlineStr">
        <is>
          <t>2:34.11</t>
        </is>
      </c>
      <c r="K94" s="2" t="inlineStr">
        <is>
          <t>200m Kelebek</t>
        </is>
      </c>
      <c r="L94" s="2" t="inlineStr">
        <is>
          <t>2:36.85</t>
        </is>
      </c>
      <c r="M94" s="2" t="inlineStr">
        <is>
          <t>400m Karışık</t>
        </is>
      </c>
      <c r="N94" s="2" t="inlineStr">
        <is>
          <t>5:30.27</t>
        </is>
      </c>
      <c r="P94" t="inlineStr">
        <is>
          <t>Ortakçı Spor Kulübü</t>
        </is>
      </c>
      <c r="Q94" t="inlineStr">
        <is>
          <t>Bursa</t>
        </is>
      </c>
      <c r="R94">
        <f>Q94=B94</f>
        <v/>
      </c>
      <c r="T94">
        <f>MATCH(D94,[1]Manual!$A:$A,0)</f>
        <v/>
      </c>
    </row>
    <row r="95" ht="15.95" customHeight="1">
      <c r="A95" s="4" t="n">
        <v>94</v>
      </c>
      <c r="B95" s="4" t="inlineStr">
        <is>
          <t>Bursa</t>
        </is>
      </c>
      <c r="C95" s="5" t="inlineStr">
        <is>
          <t>Erkek</t>
        </is>
      </c>
      <c r="D95" s="5" t="inlineStr">
        <is>
          <t>Yunus Emre Kul</t>
        </is>
      </c>
      <c r="E95" s="4" t="inlineStr">
        <is>
          <t>12</t>
        </is>
      </c>
      <c r="F95" s="4" t="inlineStr">
        <is>
          <t>26719427557</t>
        </is>
      </c>
      <c r="G95" s="4" t="inlineStr">
        <is>
          <t>50m Serbest</t>
        </is>
      </c>
      <c r="H95" s="4" t="inlineStr">
        <is>
          <t>29.02</t>
        </is>
      </c>
      <c r="I95" s="4" t="inlineStr">
        <is>
          <t>50m Sırtüstü</t>
        </is>
      </c>
      <c r="J95" s="4" t="inlineStr">
        <is>
          <t>38.38</t>
        </is>
      </c>
      <c r="K95" s="4" t="inlineStr">
        <is>
          <t>100m Serbest</t>
        </is>
      </c>
      <c r="L95" s="4" t="inlineStr">
        <is>
          <t>1:02.20</t>
        </is>
      </c>
      <c r="M95" s="4" t="inlineStr">
        <is>
          <t>50m Kurbağalama</t>
        </is>
      </c>
      <c r="N95" s="4" t="inlineStr">
        <is>
          <t>39.35</t>
        </is>
      </c>
      <c r="P95" t="inlineStr">
        <is>
          <t>Bursa Büyükşehir Belediye Spor Kulübü</t>
        </is>
      </c>
      <c r="Q95" t="inlineStr">
        <is>
          <t>Bursa</t>
        </is>
      </c>
      <c r="R95">
        <f>Q95=B95</f>
        <v/>
      </c>
      <c r="T95">
        <f>MATCH(D95,[1]Manual!$A:$A,0)</f>
        <v/>
      </c>
    </row>
    <row r="96" ht="15.95" customHeight="1">
      <c r="A96" s="2" t="n">
        <v>95</v>
      </c>
      <c r="B96" s="2" t="inlineStr">
        <is>
          <t>Bursa</t>
        </is>
      </c>
      <c r="C96" s="3" t="inlineStr">
        <is>
          <t>Erkek</t>
        </is>
      </c>
      <c r="D96" s="3" t="inlineStr">
        <is>
          <t>Çağkan Demir BİÇEN</t>
        </is>
      </c>
      <c r="E96" s="2" t="inlineStr">
        <is>
          <t>13</t>
        </is>
      </c>
      <c r="F96" s="2" t="inlineStr">
        <is>
          <t>26692390821</t>
        </is>
      </c>
      <c r="G96" s="2" t="inlineStr">
        <is>
          <t>200m Serbest</t>
        </is>
      </c>
      <c r="H96" s="2" t="inlineStr">
        <is>
          <t>2:08.23</t>
        </is>
      </c>
      <c r="I96" s="2" t="inlineStr">
        <is>
          <t>800m Serbest</t>
        </is>
      </c>
      <c r="J96" s="2" t="inlineStr">
        <is>
          <t>9:08.72</t>
        </is>
      </c>
      <c r="K96" s="2" t="inlineStr">
        <is>
          <t>400m Serbest</t>
        </is>
      </c>
      <c r="L96" s="2" t="inlineStr">
        <is>
          <t>4:26.43</t>
        </is>
      </c>
      <c r="M96" s="2" t="inlineStr">
        <is>
          <t>1500m Serbest</t>
        </is>
      </c>
      <c r="N96" s="2" t="inlineStr">
        <is>
          <t>17:20.50</t>
        </is>
      </c>
      <c r="P96" t="inlineStr">
        <is>
          <t>Ortakçı Spor Kulübü</t>
        </is>
      </c>
      <c r="Q96" t="inlineStr">
        <is>
          <t>Bursa</t>
        </is>
      </c>
      <c r="R96">
        <f>Q96=B96</f>
        <v/>
      </c>
      <c r="T96">
        <f>MATCH(D96,[1]Manual!$A:$A,0)</f>
        <v/>
      </c>
    </row>
    <row r="97" ht="15.95" customHeight="1">
      <c r="A97" s="4" t="n">
        <v>96</v>
      </c>
      <c r="B97" s="4" t="inlineStr">
        <is>
          <t>Bursa</t>
        </is>
      </c>
      <c r="C97" s="5" t="inlineStr">
        <is>
          <t>Bayan</t>
        </is>
      </c>
      <c r="D97" s="5" t="inlineStr">
        <is>
          <t>Asya Beren ÇELİK</t>
        </is>
      </c>
      <c r="E97" s="4" t="inlineStr">
        <is>
          <t>11</t>
        </is>
      </c>
      <c r="F97" s="4" t="inlineStr">
        <is>
          <t>28231361858</t>
        </is>
      </c>
      <c r="G97" s="4" t="inlineStr">
        <is>
          <t>50m Serbest</t>
        </is>
      </c>
      <c r="H97" s="4" t="inlineStr">
        <is>
          <t>28.08</t>
        </is>
      </c>
      <c r="I97" s="4" t="inlineStr">
        <is>
          <t>100m Sırtüstü</t>
        </is>
      </c>
      <c r="J97" s="4" t="inlineStr">
        <is>
          <t>1:04.80</t>
        </is>
      </c>
      <c r="K97" s="4" t="inlineStr">
        <is>
          <t>50m Sırtüstü</t>
        </is>
      </c>
      <c r="L97" s="4" t="inlineStr">
        <is>
          <t>30.12</t>
        </is>
      </c>
      <c r="M97" s="4" t="inlineStr">
        <is>
          <t>200m Sırtüstü</t>
        </is>
      </c>
      <c r="N97" s="4" t="inlineStr">
        <is>
          <t>2:22.87</t>
        </is>
      </c>
      <c r="P97" t="inlineStr">
        <is>
          <t>Uludağ Oksijen Spor Kulübü</t>
        </is>
      </c>
      <c r="Q97" t="inlineStr">
        <is>
          <t>Bursa</t>
        </is>
      </c>
      <c r="R97">
        <f>Q97=B97</f>
        <v/>
      </c>
      <c r="T97">
        <f>MATCH(D97,[1]Manual!$A:$A,0)</f>
        <v/>
      </c>
    </row>
    <row r="98" ht="15.95" customHeight="1">
      <c r="A98" s="2" t="n">
        <v>97</v>
      </c>
      <c r="B98" s="2" t="inlineStr">
        <is>
          <t>Bursa</t>
        </is>
      </c>
      <c r="C98" s="3" t="inlineStr">
        <is>
          <t>Bayan</t>
        </is>
      </c>
      <c r="D98" s="3" t="inlineStr">
        <is>
          <t>Asya Melek ALP</t>
        </is>
      </c>
      <c r="E98" s="2" t="inlineStr">
        <is>
          <t>10</t>
        </is>
      </c>
      <c r="F98" s="2" t="inlineStr">
        <is>
          <t>17011761953</t>
        </is>
      </c>
      <c r="G98" s="2" t="inlineStr">
        <is>
          <t>50m Serbest</t>
        </is>
      </c>
      <c r="H98" s="2" t="inlineStr">
        <is>
          <t>27.25</t>
        </is>
      </c>
      <c r="I98" s="2" t="inlineStr">
        <is>
          <t>100m Kelebek</t>
        </is>
      </c>
      <c r="J98" s="2" t="inlineStr">
        <is>
          <t>1:02.16</t>
        </is>
      </c>
      <c r="K98" s="2" t="inlineStr">
        <is>
          <t>50m Kelebek</t>
        </is>
      </c>
      <c r="L98" s="2" t="inlineStr">
        <is>
          <t>27.86</t>
        </is>
      </c>
      <c r="M98" s="2" t="inlineStr">
        <is>
          <t>200m Karışık</t>
        </is>
      </c>
      <c r="N98" s="2" t="inlineStr">
        <is>
          <t>2:19.42</t>
        </is>
      </c>
      <c r="P98" s="12" t="inlineStr">
        <is>
          <t>Uludağ Oksijen Spor Kulübü</t>
        </is>
      </c>
      <c r="Q98" s="12" t="inlineStr">
        <is>
          <t>Bursa</t>
        </is>
      </c>
      <c r="R98">
        <f>Q98=B98</f>
        <v/>
      </c>
      <c r="T98">
        <f>MATCH(D98,[1]Manual!$A:$A,0)</f>
        <v/>
      </c>
    </row>
    <row r="99" ht="15.95" customHeight="1">
      <c r="A99" s="4" t="n">
        <v>98</v>
      </c>
      <c r="B99" s="4" t="inlineStr">
        <is>
          <t>Bursa</t>
        </is>
      </c>
      <c r="C99" s="5" t="inlineStr">
        <is>
          <t>Bayan</t>
        </is>
      </c>
      <c r="D99" s="5" t="inlineStr">
        <is>
          <t>Aysima VATANSEVER</t>
        </is>
      </c>
      <c r="E99" s="4" t="inlineStr">
        <is>
          <t>14</t>
        </is>
      </c>
      <c r="F99" s="4" t="inlineStr">
        <is>
          <t>22282571316</t>
        </is>
      </c>
      <c r="G99" s="4" t="inlineStr">
        <is>
          <t>100m Kurbağalama</t>
        </is>
      </c>
      <c r="H99" s="4" t="inlineStr">
        <is>
          <t>1:26.68</t>
        </is>
      </c>
      <c r="I99" s="4" t="inlineStr">
        <is>
          <t>100m Kelebek</t>
        </is>
      </c>
      <c r="J99" s="4" t="inlineStr">
        <is>
          <t>1:21.40</t>
        </is>
      </c>
      <c r="K99" s="4" t="inlineStr">
        <is>
          <t>200m Kurbağalama</t>
        </is>
      </c>
      <c r="L99" s="4" t="inlineStr">
        <is>
          <t>3:01.38</t>
        </is>
      </c>
      <c r="M99" s="4" t="inlineStr">
        <is>
          <t>200m Karışık</t>
        </is>
      </c>
      <c r="N99" s="4" t="inlineStr">
        <is>
          <t>2:47.93</t>
        </is>
      </c>
      <c r="P99" t="inlineStr">
        <is>
          <t>Uludağ Oksijen Spor Kulübü</t>
        </is>
      </c>
      <c r="Q99" t="inlineStr">
        <is>
          <t>Bursa</t>
        </is>
      </c>
      <c r="R99">
        <f>Q99=B99</f>
        <v/>
      </c>
      <c r="T99">
        <f>MATCH(D99,[1]Manual!$A:$A,0)</f>
        <v/>
      </c>
    </row>
    <row r="100" ht="15.95" customHeight="1">
      <c r="A100" s="2" t="n">
        <v>99</v>
      </c>
      <c r="B100" s="2" t="inlineStr">
        <is>
          <t>Bursa</t>
        </is>
      </c>
      <c r="C100" s="3" t="inlineStr">
        <is>
          <t>Bayan</t>
        </is>
      </c>
      <c r="D100" s="3" t="inlineStr">
        <is>
          <t>Aysu KABAOĞLU</t>
        </is>
      </c>
      <c r="E100" s="2" t="inlineStr">
        <is>
          <t>14</t>
        </is>
      </c>
      <c r="F100" s="2" t="inlineStr">
        <is>
          <t>38737038613</t>
        </is>
      </c>
      <c r="G100" s="2" t="inlineStr">
        <is>
          <t>100m Serbest</t>
        </is>
      </c>
      <c r="H100" s="2" t="inlineStr">
        <is>
          <t>1:09.25</t>
        </is>
      </c>
      <c r="I100" s="2" t="inlineStr">
        <is>
          <t>100m Sırtüstü</t>
        </is>
      </c>
      <c r="J100" s="2" t="inlineStr">
        <is>
          <t>1:16.80</t>
        </is>
      </c>
      <c r="K100" s="2" t="inlineStr">
        <is>
          <t>200m Serbest</t>
        </is>
      </c>
      <c r="L100" s="2" t="inlineStr">
        <is>
          <t>2:31.22</t>
        </is>
      </c>
      <c r="M100" s="2" t="inlineStr">
        <is>
          <t>200m Sırtüstü</t>
        </is>
      </c>
      <c r="N100" s="2" t="inlineStr">
        <is>
          <t>2:43.86</t>
        </is>
      </c>
      <c r="P100" t="inlineStr">
        <is>
          <t>Bursa Büyükşehir Belediye Spor Kulübü</t>
        </is>
      </c>
      <c r="Q100" t="inlineStr">
        <is>
          <t>Bursa</t>
        </is>
      </c>
      <c r="R100">
        <f>Q100=B100</f>
        <v/>
      </c>
      <c r="T100">
        <f>MATCH(D100,[1]Manual!$A:$A,0)</f>
        <v/>
      </c>
    </row>
    <row r="101" ht="15.95" customHeight="1">
      <c r="A101" s="4" t="n">
        <v>100</v>
      </c>
      <c r="B101" s="4" t="inlineStr">
        <is>
          <t>Bursa</t>
        </is>
      </c>
      <c r="C101" s="5" t="inlineStr">
        <is>
          <t>Bayan</t>
        </is>
      </c>
      <c r="D101" s="5" t="inlineStr">
        <is>
          <t>Ayşe Beren ONAY</t>
        </is>
      </c>
      <c r="E101" s="4" t="inlineStr">
        <is>
          <t>14</t>
        </is>
      </c>
      <c r="F101" s="4" t="inlineStr">
        <is>
          <t>24319471920</t>
        </is>
      </c>
      <c r="G101" s="4" t="inlineStr">
        <is>
          <t>200m Serbest</t>
        </is>
      </c>
      <c r="H101" s="4" t="inlineStr">
        <is>
          <t>2:23.76</t>
        </is>
      </c>
      <c r="I101" s="4" t="inlineStr">
        <is>
          <t>200m Karışık</t>
        </is>
      </c>
      <c r="J101" s="4" t="inlineStr">
        <is>
          <t>2:47.60</t>
        </is>
      </c>
      <c r="K101" s="4" t="inlineStr">
        <is>
          <t>400m Serbest</t>
        </is>
      </c>
      <c r="L101" s="4" t="inlineStr">
        <is>
          <t>5:02.24</t>
        </is>
      </c>
      <c r="M101" s="4" t="inlineStr">
        <is>
          <t>400m Karışık</t>
        </is>
      </c>
      <c r="N101" s="4" t="inlineStr">
        <is>
          <t>NT</t>
        </is>
      </c>
      <c r="P101" s="13" t="inlineStr">
        <is>
          <t>Ortakçı Spor Kulübü</t>
        </is>
      </c>
      <c r="Q101" t="inlineStr">
        <is>
          <t>Bursa</t>
        </is>
      </c>
      <c r="R101">
        <f>Q101=B101</f>
        <v/>
      </c>
      <c r="T101">
        <f>MATCH(D101,[1]Manual!$A:$A,0)</f>
        <v/>
      </c>
    </row>
    <row r="102" ht="15.95" customHeight="1">
      <c r="A102" s="2" t="n">
        <v>101</v>
      </c>
      <c r="B102" s="2" t="inlineStr">
        <is>
          <t>Bursa</t>
        </is>
      </c>
      <c r="C102" s="3" t="inlineStr">
        <is>
          <t>Bayan</t>
        </is>
      </c>
      <c r="D102" s="3" t="inlineStr">
        <is>
          <t>Ayşe Nazlı SÖNMEZ</t>
        </is>
      </c>
      <c r="E102" s="2" t="inlineStr">
        <is>
          <t>11</t>
        </is>
      </c>
      <c r="F102" s="2" t="inlineStr">
        <is>
          <t>30625282155</t>
        </is>
      </c>
      <c r="G102" s="2" t="inlineStr">
        <is>
          <t>50m Serbest</t>
        </is>
      </c>
      <c r="H102" s="2" t="inlineStr">
        <is>
          <t>27.09</t>
        </is>
      </c>
      <c r="I102" s="2" t="inlineStr">
        <is>
          <t>50m Kelebek</t>
        </is>
      </c>
      <c r="J102" s="2" t="inlineStr">
        <is>
          <t>28.01</t>
        </is>
      </c>
      <c r="K102" s="2" t="inlineStr">
        <is>
          <t>100m Serbest</t>
        </is>
      </c>
      <c r="L102" s="2" t="inlineStr">
        <is>
          <t>59.20</t>
        </is>
      </c>
      <c r="M102" s="2" t="inlineStr">
        <is>
          <t>100m Kelebek</t>
        </is>
      </c>
      <c r="N102" s="2" t="inlineStr">
        <is>
          <t>1:03.83</t>
        </is>
      </c>
      <c r="P102" t="inlineStr">
        <is>
          <t>Uludağ Oksijen Spor Kulübü</t>
        </is>
      </c>
      <c r="Q102" t="inlineStr">
        <is>
          <t>Bursa</t>
        </is>
      </c>
      <c r="R102">
        <f>Q102=B102</f>
        <v/>
      </c>
      <c r="T102">
        <f>MATCH(D102,[1]Manual!$A:$A,0)</f>
        <v/>
      </c>
    </row>
    <row r="103" ht="15.95" customHeight="1">
      <c r="A103" s="4" t="n">
        <v>102</v>
      </c>
      <c r="B103" s="4" t="inlineStr">
        <is>
          <t>Bursa</t>
        </is>
      </c>
      <c r="C103" s="5" t="inlineStr">
        <is>
          <t>Bayan</t>
        </is>
      </c>
      <c r="D103" s="5" t="inlineStr">
        <is>
          <t>Ayşem ÖZÇELTİKÇİ</t>
        </is>
      </c>
      <c r="E103" s="4" t="inlineStr">
        <is>
          <t>14</t>
        </is>
      </c>
      <c r="F103" s="4" t="inlineStr">
        <is>
          <t>20689640685</t>
        </is>
      </c>
      <c r="G103" s="4" t="inlineStr">
        <is>
          <t>800m Serbest</t>
        </is>
      </c>
      <c r="H103" s="4" t="inlineStr">
        <is>
          <t>12:49.57</t>
        </is>
      </c>
      <c r="I103" s="4" t="inlineStr">
        <is>
          <t>200m Kurbağalama</t>
        </is>
      </c>
      <c r="J103" s="4" t="inlineStr">
        <is>
          <t>3:02.15</t>
        </is>
      </c>
      <c r="K103" s="4" t="inlineStr">
        <is>
          <t>100m Kurbağalama</t>
        </is>
      </c>
      <c r="L103" s="4" t="inlineStr">
        <is>
          <t>1:25.26</t>
        </is>
      </c>
      <c r="M103" s="4" t="inlineStr">
        <is>
          <t>200m Karışık</t>
        </is>
      </c>
      <c r="N103" s="4" t="inlineStr">
        <is>
          <t>2:45.84</t>
        </is>
      </c>
      <c r="P103" t="inlineStr">
        <is>
          <t>Uludağ Oksijen Spor Kulübü</t>
        </is>
      </c>
      <c r="Q103" t="inlineStr">
        <is>
          <t>Bursa</t>
        </is>
      </c>
      <c r="R103">
        <f>Q103=B103</f>
        <v/>
      </c>
      <c r="T103">
        <f>MATCH(D103,[1]Manual!$A:$A,0)</f>
        <v/>
      </c>
    </row>
    <row r="104" ht="15.95" customHeight="1">
      <c r="A104" s="2" t="n">
        <v>103</v>
      </c>
      <c r="B104" s="2" t="inlineStr">
        <is>
          <t>Bursa</t>
        </is>
      </c>
      <c r="C104" s="3" t="inlineStr">
        <is>
          <t>Bayan</t>
        </is>
      </c>
      <c r="D104" s="3" t="inlineStr">
        <is>
          <t>Bilge BEKTAŞ</t>
        </is>
      </c>
      <c r="E104" s="2" t="inlineStr">
        <is>
          <t>13</t>
        </is>
      </c>
      <c r="F104" s="2" t="inlineStr">
        <is>
          <t>29080333042</t>
        </is>
      </c>
      <c r="G104" s="2" t="inlineStr">
        <is>
          <t>400m Serbest</t>
        </is>
      </c>
      <c r="H104" s="2" t="inlineStr">
        <is>
          <t>4:38.92</t>
        </is>
      </c>
      <c r="I104" s="2" t="inlineStr">
        <is>
          <t>1500m Serbest</t>
        </is>
      </c>
      <c r="J104" s="2" t="inlineStr">
        <is>
          <t>18:34.90</t>
        </is>
      </c>
      <c r="K104" s="2" t="inlineStr">
        <is>
          <t>800m Serbest</t>
        </is>
      </c>
      <c r="L104" s="2" t="inlineStr">
        <is>
          <t>9:33.39</t>
        </is>
      </c>
      <c r="M104" s="2" t="inlineStr">
        <is>
          <t>400m Karışık</t>
        </is>
      </c>
      <c r="N104" s="2" t="inlineStr">
        <is>
          <t>5:25.58</t>
        </is>
      </c>
      <c r="P104" s="6" t="inlineStr">
        <is>
          <t>Nilüfer Belediye Spor Kulübü</t>
        </is>
      </c>
      <c r="Q104" s="6" t="inlineStr">
        <is>
          <t>Bursa</t>
        </is>
      </c>
      <c r="R104">
        <f>Q104=B104</f>
        <v/>
      </c>
      <c r="T104">
        <f>MATCH(D104,[1]Manual!$A:$A,0)</f>
        <v/>
      </c>
    </row>
    <row r="105" ht="15.95" customHeight="1">
      <c r="A105" s="4" t="n">
        <v>104</v>
      </c>
      <c r="B105" s="4" t="inlineStr">
        <is>
          <t>Bursa</t>
        </is>
      </c>
      <c r="C105" s="5" t="inlineStr">
        <is>
          <t>Bayan</t>
        </is>
      </c>
      <c r="D105" s="5" t="inlineStr">
        <is>
          <t>Burcu Ece ORHAN</t>
        </is>
      </c>
      <c r="E105" s="4" t="inlineStr">
        <is>
          <t>14</t>
        </is>
      </c>
      <c r="F105" s="4" t="inlineStr">
        <is>
          <t>57424645310</t>
        </is>
      </c>
      <c r="G105" s="4" t="inlineStr">
        <is>
          <t>100m Serbest</t>
        </is>
      </c>
      <c r="H105" s="4" t="inlineStr">
        <is>
          <t>1:05.72</t>
        </is>
      </c>
      <c r="I105" s="4" t="inlineStr">
        <is>
          <t>200m Sırtüstü</t>
        </is>
      </c>
      <c r="J105" s="4" t="inlineStr">
        <is>
          <t>2:45.24</t>
        </is>
      </c>
      <c r="K105" s="4" t="inlineStr">
        <is>
          <t>100m Sırtüstü</t>
        </is>
      </c>
      <c r="L105" s="4" t="inlineStr">
        <is>
          <t>1:16.22</t>
        </is>
      </c>
      <c r="M105" s="4" t="inlineStr">
        <is>
          <t>100m Kelebek</t>
        </is>
      </c>
      <c r="N105" s="4" t="inlineStr">
        <is>
          <t>1:20.41</t>
        </is>
      </c>
      <c r="P105" t="inlineStr">
        <is>
          <t>Uludağ Oksijen Spor Kulübü</t>
        </is>
      </c>
      <c r="Q105" t="inlineStr">
        <is>
          <t>Bursa</t>
        </is>
      </c>
      <c r="R105">
        <f>Q105=B105</f>
        <v/>
      </c>
      <c r="T105">
        <f>MATCH(D105,[1]Manual!$A:$A,0)</f>
        <v/>
      </c>
    </row>
    <row r="106" ht="15.95" customHeight="1">
      <c r="A106" s="2" t="n">
        <v>105</v>
      </c>
      <c r="B106" s="2" t="inlineStr">
        <is>
          <t>Bursa</t>
        </is>
      </c>
      <c r="C106" s="3" t="inlineStr">
        <is>
          <t>Bayan</t>
        </is>
      </c>
      <c r="D106" s="3" t="inlineStr">
        <is>
          <t>Duru VATANSEVER</t>
        </is>
      </c>
      <c r="E106" s="2" t="inlineStr">
        <is>
          <t>09</t>
        </is>
      </c>
      <c r="F106" s="2" t="inlineStr">
        <is>
          <t>32560243158</t>
        </is>
      </c>
      <c r="G106" s="2" t="inlineStr">
        <is>
          <t>50m Serbest</t>
        </is>
      </c>
      <c r="H106" s="2" t="inlineStr">
        <is>
          <t>27.96</t>
        </is>
      </c>
      <c r="I106" s="2" t="inlineStr">
        <is>
          <t>100m Kelebek</t>
        </is>
      </c>
      <c r="J106" s="2" t="inlineStr">
        <is>
          <t>1:04.20</t>
        </is>
      </c>
      <c r="K106" s="2" t="inlineStr">
        <is>
          <t>50m Kelebek</t>
        </is>
      </c>
      <c r="L106" s="2" t="inlineStr">
        <is>
          <t>28.64</t>
        </is>
      </c>
      <c r="M106" s="2" t="inlineStr">
        <is>
          <t>200m Kelebek</t>
        </is>
      </c>
      <c r="N106" s="2" t="inlineStr">
        <is>
          <t>2:22.48</t>
        </is>
      </c>
      <c r="P106" s="12" t="inlineStr">
        <is>
          <t>Uludağ Oksijen Spor Kulübü</t>
        </is>
      </c>
      <c r="Q106" s="12" t="inlineStr">
        <is>
          <t>Bursa</t>
        </is>
      </c>
      <c r="R106">
        <f>Q106=B106</f>
        <v/>
      </c>
      <c r="T106">
        <f>MATCH(D106,[1]Manual!$A:$A,0)</f>
        <v/>
      </c>
    </row>
    <row r="107" ht="15.95" customHeight="1">
      <c r="A107" s="4" t="n">
        <v>106</v>
      </c>
      <c r="B107" s="4" t="inlineStr">
        <is>
          <t>Bursa</t>
        </is>
      </c>
      <c r="C107" s="5" t="inlineStr">
        <is>
          <t>Bayan</t>
        </is>
      </c>
      <c r="D107" s="5" t="inlineStr">
        <is>
          <t>Ece EROL</t>
        </is>
      </c>
      <c r="E107" s="4" t="inlineStr">
        <is>
          <t>13</t>
        </is>
      </c>
      <c r="F107" s="4" t="inlineStr">
        <is>
          <t>27347644516</t>
        </is>
      </c>
      <c r="G107" s="4" t="inlineStr">
        <is>
          <t>100m Kelebek</t>
        </is>
      </c>
      <c r="H107" s="4" t="inlineStr">
        <is>
          <t>1:11.87</t>
        </is>
      </c>
      <c r="I107" s="4" t="inlineStr">
        <is>
          <t>200m Karışık</t>
        </is>
      </c>
      <c r="J107" s="4" t="inlineStr">
        <is>
          <t>2:38.72</t>
        </is>
      </c>
      <c r="K107" s="4" t="inlineStr">
        <is>
          <t>200m Kelebek</t>
        </is>
      </c>
      <c r="L107" s="4" t="inlineStr">
        <is>
          <t>2:34.66</t>
        </is>
      </c>
      <c r="M107" s="4" t="inlineStr">
        <is>
          <t>400m Karışık</t>
        </is>
      </c>
      <c r="N107" s="4" t="inlineStr">
        <is>
          <t>5:34.49</t>
        </is>
      </c>
      <c r="P107" t="inlineStr">
        <is>
          <t>Ortakçı Spor Kulübü</t>
        </is>
      </c>
      <c r="Q107" t="inlineStr">
        <is>
          <t>Bursa</t>
        </is>
      </c>
      <c r="R107">
        <f>Q107=B107</f>
        <v/>
      </c>
      <c r="T107">
        <f>MATCH(D107,[1]Manual!$A:$A,0)</f>
        <v/>
      </c>
    </row>
    <row r="108" ht="15.95" customHeight="1">
      <c r="A108" s="2" t="n">
        <v>107</v>
      </c>
      <c r="B108" s="2" t="inlineStr">
        <is>
          <t>Bursa</t>
        </is>
      </c>
      <c r="C108" s="3" t="inlineStr">
        <is>
          <t>Bayan</t>
        </is>
      </c>
      <c r="D108" s="3" t="inlineStr">
        <is>
          <t>Elif VATANSEVER</t>
        </is>
      </c>
      <c r="E108" s="2" t="inlineStr">
        <is>
          <t>12</t>
        </is>
      </c>
      <c r="F108" s="2" t="inlineStr">
        <is>
          <t>65320043857</t>
        </is>
      </c>
      <c r="G108" s="2" t="inlineStr">
        <is>
          <t>50m Kelebek</t>
        </is>
      </c>
      <c r="H108" s="2" t="inlineStr">
        <is>
          <t>30.48</t>
        </is>
      </c>
      <c r="I108" s="2" t="inlineStr">
        <is>
          <t>200m Kelebek</t>
        </is>
      </c>
      <c r="J108" s="2" t="inlineStr">
        <is>
          <t>2:30.31</t>
        </is>
      </c>
      <c r="K108" s="2" t="inlineStr">
        <is>
          <t>100m Kelebek</t>
        </is>
      </c>
      <c r="L108" s="2" t="inlineStr">
        <is>
          <t>1:07.16</t>
        </is>
      </c>
      <c r="M108" s="2" t="inlineStr">
        <is>
          <t>400m Karışık</t>
        </is>
      </c>
      <c r="N108" s="2" t="inlineStr">
        <is>
          <t>5:29.53</t>
        </is>
      </c>
      <c r="P108" t="inlineStr">
        <is>
          <t>Uludağ Oksijen Spor Kulübü</t>
        </is>
      </c>
      <c r="Q108" t="inlineStr">
        <is>
          <t>Bursa</t>
        </is>
      </c>
      <c r="R108">
        <f>Q108=B108</f>
        <v/>
      </c>
      <c r="T108">
        <f>MATCH(D108,[1]Manual!$A:$A,0)</f>
        <v/>
      </c>
    </row>
    <row r="109" ht="15.95" customHeight="1">
      <c r="A109" s="4" t="n">
        <v>108</v>
      </c>
      <c r="B109" s="8" t="inlineStr">
        <is>
          <t>Bursa</t>
        </is>
      </c>
      <c r="C109" s="5" t="inlineStr">
        <is>
          <t>Bayan</t>
        </is>
      </c>
      <c r="D109" s="5" t="inlineStr">
        <is>
          <t>Eylül ÖZGÜR</t>
        </is>
      </c>
      <c r="E109" s="4" t="inlineStr">
        <is>
          <t>09</t>
        </is>
      </c>
      <c r="F109" s="4" t="inlineStr">
        <is>
          <t>16903736558</t>
        </is>
      </c>
      <c r="G109" s="4" t="inlineStr">
        <is>
          <t>50m Serbest</t>
        </is>
      </c>
      <c r="H109" s="4" t="inlineStr">
        <is>
          <t>26.33</t>
        </is>
      </c>
      <c r="I109" s="4" t="inlineStr">
        <is>
          <t>50m Sırtüstü</t>
        </is>
      </c>
      <c r="J109" s="4" t="inlineStr">
        <is>
          <t>30.77</t>
        </is>
      </c>
      <c r="K109" s="4" t="inlineStr">
        <is>
          <t>100m Serbest</t>
        </is>
      </c>
      <c r="L109" s="4" t="inlineStr">
        <is>
          <t>58.54</t>
        </is>
      </c>
      <c r="M109" s="4" t="inlineStr">
        <is>
          <t>50m Kurbağalama</t>
        </is>
      </c>
      <c r="N109" s="4" t="inlineStr">
        <is>
          <t>33.53</t>
        </is>
      </c>
      <c r="P109" s="12" t="inlineStr">
        <is>
          <t>Galatasaray Spor Kulübü</t>
        </is>
      </c>
      <c r="Q109" s="9" t="inlineStr">
        <is>
          <t>İstanbul</t>
        </is>
      </c>
      <c r="R109">
        <f>Q109=B109</f>
        <v/>
      </c>
      <c r="S109" s="9" t="inlineStr">
        <is>
          <t>Kulübü  Galatasaray ve İstanbul kulübü ama yaşadığı şehir Bursa, değiştirmeyelim Start listesine bakarız</t>
        </is>
      </c>
      <c r="T109">
        <f>MATCH(D109,[1]Manual!$A:$A,0)</f>
        <v/>
      </c>
    </row>
    <row r="110" ht="15.95" customHeight="1">
      <c r="A110" s="2" t="n">
        <v>109</v>
      </c>
      <c r="B110" s="2" t="inlineStr">
        <is>
          <t>Bursa</t>
        </is>
      </c>
      <c r="C110" s="3" t="inlineStr">
        <is>
          <t>Bayan</t>
        </is>
      </c>
      <c r="D110" s="3" t="inlineStr">
        <is>
          <t>Lena CENGİZ</t>
        </is>
      </c>
      <c r="E110" s="2" t="inlineStr">
        <is>
          <t>11</t>
        </is>
      </c>
      <c r="F110" s="2" t="inlineStr">
        <is>
          <t>27100398755</t>
        </is>
      </c>
      <c r="G110" s="2" t="inlineStr">
        <is>
          <t>50m Serbest</t>
        </is>
      </c>
      <c r="H110" s="2" t="inlineStr">
        <is>
          <t>27.47</t>
        </is>
      </c>
      <c r="I110" s="2" t="inlineStr">
        <is>
          <t>200m Serbest</t>
        </is>
      </c>
      <c r="J110" s="2" t="inlineStr">
        <is>
          <t>2:10.97</t>
        </is>
      </c>
      <c r="K110" s="2" t="inlineStr">
        <is>
          <t>100m Serbest</t>
        </is>
      </c>
      <c r="L110" s="2" t="inlineStr">
        <is>
          <t>59.31</t>
        </is>
      </c>
      <c r="M110" s="2" t="n"/>
      <c r="N110" s="2" t="inlineStr">
        <is>
          <t>NT</t>
        </is>
      </c>
      <c r="P110" t="inlineStr">
        <is>
          <t>Bosch Spor Kulübü</t>
        </is>
      </c>
      <c r="Q110" t="inlineStr">
        <is>
          <t>Bursa</t>
        </is>
      </c>
      <c r="R110">
        <f>Q110=B110</f>
        <v/>
      </c>
      <c r="T110">
        <f>MATCH(D110,[1]Manual!$A:$A,0)</f>
        <v/>
      </c>
    </row>
    <row r="111" ht="15.95" customHeight="1">
      <c r="A111" s="4" t="n">
        <v>110</v>
      </c>
      <c r="B111" s="4" t="inlineStr">
        <is>
          <t>Bursa</t>
        </is>
      </c>
      <c r="C111" s="5" t="inlineStr">
        <is>
          <t>Bayan</t>
        </is>
      </c>
      <c r="D111" s="5" t="inlineStr">
        <is>
          <t>Melis LİZOR</t>
        </is>
      </c>
      <c r="E111" s="4" t="inlineStr">
        <is>
          <t>14</t>
        </is>
      </c>
      <c r="F111" s="4" t="inlineStr">
        <is>
          <t>27481412811</t>
        </is>
      </c>
      <c r="G111" s="4" t="inlineStr">
        <is>
          <t>100m Serbest</t>
        </is>
      </c>
      <c r="H111" s="4" t="inlineStr">
        <is>
          <t>1:08.08</t>
        </is>
      </c>
      <c r="I111" s="4" t="inlineStr">
        <is>
          <t>400m Serbest</t>
        </is>
      </c>
      <c r="J111" s="4" t="inlineStr">
        <is>
          <t>5:10.74</t>
        </is>
      </c>
      <c r="K111" s="4" t="inlineStr">
        <is>
          <t>200m Serbest</t>
        </is>
      </c>
      <c r="L111" s="4" t="inlineStr">
        <is>
          <t>2:24.74</t>
        </is>
      </c>
      <c r="M111" s="4" t="inlineStr">
        <is>
          <t>800m Serbest</t>
        </is>
      </c>
      <c r="N111" s="4" t="inlineStr">
        <is>
          <t>13:02.44</t>
        </is>
      </c>
      <c r="P111" t="inlineStr">
        <is>
          <t>Uludağ Oksijen Spor Kulübü</t>
        </is>
      </c>
      <c r="Q111" t="inlineStr">
        <is>
          <t>Bursa</t>
        </is>
      </c>
      <c r="R111">
        <f>Q111=B111</f>
        <v/>
      </c>
      <c r="T111">
        <f>MATCH(D111,[1]Manual!$A:$A,0)</f>
        <v/>
      </c>
    </row>
    <row r="112" ht="15.95" customHeight="1">
      <c r="A112" s="2" t="n">
        <v>111</v>
      </c>
      <c r="B112" s="2" t="inlineStr">
        <is>
          <t>Bursa</t>
        </is>
      </c>
      <c r="C112" s="3" t="inlineStr">
        <is>
          <t>Bayan</t>
        </is>
      </c>
      <c r="D112" s="3" t="inlineStr">
        <is>
          <t>Meryem ÇETİN</t>
        </is>
      </c>
      <c r="E112" s="2" t="inlineStr">
        <is>
          <t>13</t>
        </is>
      </c>
      <c r="F112" s="2" t="inlineStr">
        <is>
          <t>36991084125</t>
        </is>
      </c>
      <c r="G112" s="2" t="inlineStr">
        <is>
          <t>200m Serbest</t>
        </is>
      </c>
      <c r="H112" s="2" t="inlineStr">
        <is>
          <t>2:09.52</t>
        </is>
      </c>
      <c r="I112" s="2" t="inlineStr">
        <is>
          <t>200m Kelebek</t>
        </is>
      </c>
      <c r="J112" s="2" t="inlineStr">
        <is>
          <t>2:27.30</t>
        </is>
      </c>
      <c r="K112" s="2" t="inlineStr">
        <is>
          <t>400m Serbest</t>
        </is>
      </c>
      <c r="L112" s="2" t="inlineStr">
        <is>
          <t>4:36.68</t>
        </is>
      </c>
      <c r="M112" s="2" t="inlineStr">
        <is>
          <t>200m Karışık</t>
        </is>
      </c>
      <c r="N112" s="2" t="inlineStr">
        <is>
          <t>2:30.54</t>
        </is>
      </c>
      <c r="P112" t="inlineStr">
        <is>
          <t>Bosch Spor Kulübü</t>
        </is>
      </c>
      <c r="Q112" t="inlineStr">
        <is>
          <t>Bursa</t>
        </is>
      </c>
      <c r="R112">
        <f>Q112=B112</f>
        <v/>
      </c>
      <c r="T112">
        <f>MATCH(D112,[1]Manual!$A:$A,0)</f>
        <v/>
      </c>
    </row>
    <row r="113" ht="15.95" customHeight="1">
      <c r="A113" s="4" t="n">
        <v>112</v>
      </c>
      <c r="B113" s="4" t="inlineStr">
        <is>
          <t>Bursa</t>
        </is>
      </c>
      <c r="C113" s="5" t="inlineStr">
        <is>
          <t>Bayan</t>
        </is>
      </c>
      <c r="D113" s="5" t="inlineStr">
        <is>
          <t>Mısra Saygılı</t>
        </is>
      </c>
      <c r="E113" s="4" t="inlineStr">
        <is>
          <t>12</t>
        </is>
      </c>
      <c r="F113" s="4" t="inlineStr">
        <is>
          <t>16630766253</t>
        </is>
      </c>
      <c r="G113" s="4" t="inlineStr">
        <is>
          <t>50m Kurbağalama</t>
        </is>
      </c>
      <c r="H113" s="4" t="inlineStr">
        <is>
          <t>36.80</t>
        </is>
      </c>
      <c r="I113" s="4" t="inlineStr">
        <is>
          <t>200m Kurbağalama</t>
        </is>
      </c>
      <c r="J113" s="4" t="inlineStr">
        <is>
          <t>2:50.90</t>
        </is>
      </c>
      <c r="K113" s="4" t="inlineStr">
        <is>
          <t>100m Kurbağalama</t>
        </is>
      </c>
      <c r="L113" s="4" t="inlineStr">
        <is>
          <t>1:19.19</t>
        </is>
      </c>
      <c r="M113" s="4" t="n"/>
      <c r="N113" s="4" t="inlineStr">
        <is>
          <t>NT</t>
        </is>
      </c>
      <c r="P113" t="inlineStr">
        <is>
          <t>Bosch Spor Kulübü</t>
        </is>
      </c>
      <c r="Q113" t="inlineStr">
        <is>
          <t>Bursa</t>
        </is>
      </c>
      <c r="R113">
        <f>Q113=B113</f>
        <v/>
      </c>
      <c r="T113">
        <f>MATCH(D113,[1]Manual!$A:$A,0)</f>
        <v/>
      </c>
    </row>
    <row r="114" ht="15.95" customHeight="1">
      <c r="A114" s="2" t="n">
        <v>113</v>
      </c>
      <c r="B114" s="2" t="inlineStr">
        <is>
          <t>Bursa</t>
        </is>
      </c>
      <c r="C114" s="3" t="inlineStr">
        <is>
          <t>Bayan</t>
        </is>
      </c>
      <c r="D114" s="3" t="inlineStr">
        <is>
          <t>Pelin KIZILDERE</t>
        </is>
      </c>
      <c r="E114" s="2" t="inlineStr">
        <is>
          <t>11</t>
        </is>
      </c>
      <c r="F114" s="2" t="inlineStr">
        <is>
          <t>30034316258</t>
        </is>
      </c>
      <c r="G114" s="2" t="inlineStr">
        <is>
          <t>50m Kurbağalama</t>
        </is>
      </c>
      <c r="H114" s="2" t="inlineStr">
        <is>
          <t>34.19</t>
        </is>
      </c>
      <c r="I114" s="2" t="inlineStr">
        <is>
          <t>200m Kurbağalama</t>
        </is>
      </c>
      <c r="J114" s="2" t="inlineStr">
        <is>
          <t>2:40.06</t>
        </is>
      </c>
      <c r="K114" s="2" t="inlineStr">
        <is>
          <t>100m Kurbağalama</t>
        </is>
      </c>
      <c r="L114" s="2" t="inlineStr">
        <is>
          <t>1:12.91</t>
        </is>
      </c>
      <c r="M114" s="2" t="inlineStr">
        <is>
          <t>200m Karışık</t>
        </is>
      </c>
      <c r="N114" s="2" t="inlineStr">
        <is>
          <t>2:25.83</t>
        </is>
      </c>
      <c r="P114" t="inlineStr">
        <is>
          <t>Uludağ Oksijen Spor Kulübü</t>
        </is>
      </c>
      <c r="Q114" t="inlineStr">
        <is>
          <t>Bursa</t>
        </is>
      </c>
      <c r="R114">
        <f>Q114=B114</f>
        <v/>
      </c>
      <c r="T114">
        <f>MATCH(D114,[1]Manual!$A:$A,0)</f>
        <v/>
      </c>
    </row>
    <row r="115" ht="15.95" customHeight="1">
      <c r="A115" s="4" t="n">
        <v>114</v>
      </c>
      <c r="B115" s="8" t="inlineStr">
        <is>
          <t>Bursa</t>
        </is>
      </c>
      <c r="C115" s="5" t="inlineStr">
        <is>
          <t>Bayan</t>
        </is>
      </c>
      <c r="D115" s="5" t="inlineStr">
        <is>
          <t>Sahra ÇELİKKÖKÜ</t>
        </is>
      </c>
      <c r="E115" s="4" t="inlineStr">
        <is>
          <t>12</t>
        </is>
      </c>
      <c r="F115" s="4" t="inlineStr">
        <is>
          <t>30667295711</t>
        </is>
      </c>
      <c r="G115" s="4" t="inlineStr">
        <is>
          <t>100m Serbest</t>
        </is>
      </c>
      <c r="H115" s="4" t="inlineStr">
        <is>
          <t>1:01.93</t>
        </is>
      </c>
      <c r="I115" s="4" t="inlineStr">
        <is>
          <t>400m Serbest</t>
        </is>
      </c>
      <c r="J115" s="4" t="inlineStr">
        <is>
          <t>4:39.96</t>
        </is>
      </c>
      <c r="K115" s="4" t="inlineStr">
        <is>
          <t>200m Serbest</t>
        </is>
      </c>
      <c r="L115" s="4" t="inlineStr">
        <is>
          <t>2:12.99</t>
        </is>
      </c>
      <c r="M115" s="4" t="inlineStr">
        <is>
          <t>800m Serbest</t>
        </is>
      </c>
      <c r="N115" s="4" t="inlineStr">
        <is>
          <t>9:39.64</t>
        </is>
      </c>
      <c r="P115" s="7" t="inlineStr">
        <is>
          <t>Galatasaray Spor Kulübü</t>
        </is>
      </c>
      <c r="Q115" s="9" t="inlineStr">
        <is>
          <t>İstanbul</t>
        </is>
      </c>
      <c r="R115">
        <f>Q115=B115</f>
        <v/>
      </c>
      <c r="S115" s="9" t="inlineStr">
        <is>
          <t>Kulübü  Galatasaray ve İstanbul kulübü ama yaşadığı şehir Bursa, değiştirmeyelim Start listesine bakarız</t>
        </is>
      </c>
      <c r="T115">
        <f>MATCH(D115,[1]Manual!$A:$A,0)</f>
        <v/>
      </c>
    </row>
    <row r="116" ht="15.95" customHeight="1">
      <c r="A116" s="2" t="n">
        <v>115</v>
      </c>
      <c r="B116" s="2" t="inlineStr">
        <is>
          <t>Bursa</t>
        </is>
      </c>
      <c r="C116" s="3" t="inlineStr">
        <is>
          <t>Bayan</t>
        </is>
      </c>
      <c r="D116" s="3" t="inlineStr">
        <is>
          <t>Simay EMRE</t>
        </is>
      </c>
      <c r="E116" s="2" t="inlineStr">
        <is>
          <t>14</t>
        </is>
      </c>
      <c r="F116" s="2" t="inlineStr">
        <is>
          <t>16507770629</t>
        </is>
      </c>
      <c r="G116" s="2" t="inlineStr">
        <is>
          <t>200m Serbest</t>
        </is>
      </c>
      <c r="H116" s="2" t="inlineStr">
        <is>
          <t>2:18.53</t>
        </is>
      </c>
      <c r="I116" s="2" t="inlineStr">
        <is>
          <t>800m Serbest</t>
        </is>
      </c>
      <c r="J116" s="2" t="inlineStr">
        <is>
          <t>NT</t>
        </is>
      </c>
      <c r="K116" s="2" t="inlineStr">
        <is>
          <t>400m Serbest</t>
        </is>
      </c>
      <c r="L116" s="2" t="inlineStr">
        <is>
          <t>4:55.88</t>
        </is>
      </c>
      <c r="M116" s="2" t="inlineStr">
        <is>
          <t>100m Sırtüstü</t>
        </is>
      </c>
      <c r="N116" s="2" t="inlineStr">
        <is>
          <t>1:16.45</t>
        </is>
      </c>
      <c r="P116" t="inlineStr">
        <is>
          <t>Bursa Osmangazi Belediye Spor Kulübü</t>
        </is>
      </c>
      <c r="Q116" t="inlineStr">
        <is>
          <t>Bursa</t>
        </is>
      </c>
      <c r="R116">
        <f>Q116=B116</f>
        <v/>
      </c>
      <c r="T116">
        <f>MATCH(D116,[1]Manual!$A:$A,0)</f>
        <v/>
      </c>
    </row>
    <row r="117" ht="15.95" customHeight="1">
      <c r="A117" s="4" t="n">
        <v>116</v>
      </c>
      <c r="B117" s="4" t="inlineStr">
        <is>
          <t>Bursa</t>
        </is>
      </c>
      <c r="C117" s="5" t="inlineStr">
        <is>
          <t>Bayan</t>
        </is>
      </c>
      <c r="D117" s="5" t="inlineStr">
        <is>
          <t>Zehra MORALIOĞLU</t>
        </is>
      </c>
      <c r="E117" s="4" t="inlineStr">
        <is>
          <t>13</t>
        </is>
      </c>
      <c r="F117" s="4" t="inlineStr">
        <is>
          <t>11905882682</t>
        </is>
      </c>
      <c r="G117" s="4" t="inlineStr">
        <is>
          <t>800m Serbest</t>
        </is>
      </c>
      <c r="H117" s="4" t="inlineStr">
        <is>
          <t>9:39.89</t>
        </is>
      </c>
      <c r="I117" s="4" t="inlineStr">
        <is>
          <t>200m Kelebek</t>
        </is>
      </c>
      <c r="J117" s="4" t="inlineStr">
        <is>
          <t>2:27.80</t>
        </is>
      </c>
      <c r="K117" s="4" t="inlineStr">
        <is>
          <t>1500m Serbest</t>
        </is>
      </c>
      <c r="L117" s="4" t="inlineStr">
        <is>
          <t>18:40.79</t>
        </is>
      </c>
      <c r="M117" s="4" t="inlineStr">
        <is>
          <t>400m Karışık</t>
        </is>
      </c>
      <c r="N117" s="4" t="inlineStr">
        <is>
          <t>5:26.12</t>
        </is>
      </c>
      <c r="P117" t="inlineStr">
        <is>
          <t>Ortakçı Spor Kulübü</t>
        </is>
      </c>
      <c r="Q117" t="inlineStr">
        <is>
          <t>Bursa</t>
        </is>
      </c>
      <c r="R117">
        <f>Q117=B117</f>
        <v/>
      </c>
      <c r="T117">
        <f>MATCH(D117,[1]Manual!$A:$A,0)</f>
        <v/>
      </c>
    </row>
    <row r="118" ht="15.95" customHeight="1">
      <c r="A118" s="2" t="n">
        <v>117</v>
      </c>
      <c r="B118" s="2" t="inlineStr">
        <is>
          <t>Bursa</t>
        </is>
      </c>
      <c r="C118" s="3" t="inlineStr">
        <is>
          <t>Bayan</t>
        </is>
      </c>
      <c r="D118" s="3" t="inlineStr">
        <is>
          <t>Zeynep Dilara Ünlü</t>
        </is>
      </c>
      <c r="E118" s="2" t="inlineStr">
        <is>
          <t>13</t>
        </is>
      </c>
      <c r="F118" s="2" t="inlineStr">
        <is>
          <t>17035762316</t>
        </is>
      </c>
      <c r="G118" s="2" t="inlineStr">
        <is>
          <t>100m Serbest</t>
        </is>
      </c>
      <c r="H118" s="2" t="inlineStr">
        <is>
          <t>1:03.61</t>
        </is>
      </c>
      <c r="I118" s="2" t="inlineStr">
        <is>
          <t>200m Sırtüstü</t>
        </is>
      </c>
      <c r="J118" s="2" t="inlineStr">
        <is>
          <t>2:36.74</t>
        </is>
      </c>
      <c r="K118" s="2" t="inlineStr">
        <is>
          <t>100m Sırtüstü</t>
        </is>
      </c>
      <c r="L118" s="2" t="inlineStr">
        <is>
          <t>1:12.99</t>
        </is>
      </c>
      <c r="M118" s="2" t="inlineStr">
        <is>
          <t>200m Karışık</t>
        </is>
      </c>
      <c r="N118" s="2" t="inlineStr">
        <is>
          <t>2:42.47</t>
        </is>
      </c>
      <c r="P118" t="inlineStr">
        <is>
          <t>Uludağ Oksijen Spor Kulübü</t>
        </is>
      </c>
      <c r="Q118" t="inlineStr">
        <is>
          <t>Bursa</t>
        </is>
      </c>
      <c r="R118">
        <f>Q118=B118</f>
        <v/>
      </c>
      <c r="T118">
        <f>MATCH(D118,[1]Manual!$A:$A,0)</f>
        <v/>
      </c>
    </row>
    <row r="119" ht="15.95" customHeight="1">
      <c r="A119" s="4" t="n">
        <v>118</v>
      </c>
      <c r="B119" s="4" t="inlineStr">
        <is>
          <t>Bursa</t>
        </is>
      </c>
      <c r="C119" s="5" t="inlineStr">
        <is>
          <t>Bayan</t>
        </is>
      </c>
      <c r="D119" s="5" t="inlineStr">
        <is>
          <t>Zümra KOÇOĞLU</t>
        </is>
      </c>
      <c r="E119" s="4" t="inlineStr">
        <is>
          <t>14</t>
        </is>
      </c>
      <c r="F119" s="4" t="inlineStr">
        <is>
          <t>24169523418</t>
        </is>
      </c>
      <c r="G119" s="4" t="inlineStr">
        <is>
          <t>100m Sırtüstü</t>
        </is>
      </c>
      <c r="H119" s="4" t="inlineStr">
        <is>
          <t>1:15.84</t>
        </is>
      </c>
      <c r="I119" s="4" t="inlineStr">
        <is>
          <t>100m Kelebek</t>
        </is>
      </c>
      <c r="J119" s="4" t="inlineStr">
        <is>
          <t>1:22.27</t>
        </is>
      </c>
      <c r="K119" s="4" t="inlineStr">
        <is>
          <t>200m Sırtüstü</t>
        </is>
      </c>
      <c r="L119" s="4" t="inlineStr">
        <is>
          <t>2:41.02</t>
        </is>
      </c>
      <c r="M119" s="4" t="inlineStr">
        <is>
          <t>200m Karışık</t>
        </is>
      </c>
      <c r="N119" s="4" t="inlineStr">
        <is>
          <t>2:54.49</t>
        </is>
      </c>
      <c r="P119" t="inlineStr">
        <is>
          <t>Uludağ Oksijen Spor Kulübü</t>
        </is>
      </c>
      <c r="Q119" t="inlineStr">
        <is>
          <t>Bursa</t>
        </is>
      </c>
      <c r="R119">
        <f>Q119=B119</f>
        <v/>
      </c>
      <c r="T119">
        <f>MATCH(D119,[1]Manual!$A:$A,0)</f>
        <v/>
      </c>
    </row>
    <row r="120" ht="15.95" customHeight="1">
      <c r="A120" s="2" t="n">
        <v>119</v>
      </c>
      <c r="B120" s="2" t="inlineStr">
        <is>
          <t>Bursa</t>
        </is>
      </c>
      <c r="C120" s="3" t="inlineStr">
        <is>
          <t>Bayan</t>
        </is>
      </c>
      <c r="D120" s="3" t="inlineStr">
        <is>
          <t>Irmak Su Yaman</t>
        </is>
      </c>
      <c r="E120" s="2" t="inlineStr">
        <is>
          <t>13</t>
        </is>
      </c>
      <c r="F120" s="2" t="inlineStr">
        <is>
          <t>64186412525</t>
        </is>
      </c>
      <c r="G120" s="2" t="inlineStr">
        <is>
          <t>200m Sırtüstü</t>
        </is>
      </c>
      <c r="H120" s="2" t="inlineStr">
        <is>
          <t>2:37.03</t>
        </is>
      </c>
      <c r="I120" s="2" t="inlineStr">
        <is>
          <t>200m Karışık</t>
        </is>
      </c>
      <c r="J120" s="2" t="inlineStr">
        <is>
          <t>2:40.73</t>
        </is>
      </c>
      <c r="K120" s="2" t="inlineStr">
        <is>
          <t>200m Kurbağalama</t>
        </is>
      </c>
      <c r="L120" s="2" t="inlineStr">
        <is>
          <t>3:00.14</t>
        </is>
      </c>
      <c r="M120" s="2" t="inlineStr">
        <is>
          <t>400m Karışık</t>
        </is>
      </c>
      <c r="N120" s="2" t="inlineStr">
        <is>
          <t>5:42.83</t>
        </is>
      </c>
      <c r="P120" t="inlineStr">
        <is>
          <t>Uludağ Oksijen Spor Kulübü</t>
        </is>
      </c>
      <c r="Q120" t="inlineStr">
        <is>
          <t>Bursa</t>
        </is>
      </c>
      <c r="R120">
        <f>Q120=B120</f>
        <v/>
      </c>
      <c r="T120">
        <f>MATCH(D120,[1]Manual!$A:$A,0)</f>
        <v/>
      </c>
    </row>
    <row r="121" ht="15.95" customHeight="1">
      <c r="A121" s="4" t="n">
        <v>120</v>
      </c>
      <c r="B121" s="4" t="inlineStr">
        <is>
          <t>Edirne</t>
        </is>
      </c>
      <c r="C121" s="5" t="inlineStr">
        <is>
          <t>Erkek</t>
        </is>
      </c>
      <c r="D121" s="5" t="inlineStr">
        <is>
          <t>Doruk SARPDERE</t>
        </is>
      </c>
      <c r="E121" s="4" t="inlineStr">
        <is>
          <t>13</t>
        </is>
      </c>
      <c r="F121" s="4" t="inlineStr">
        <is>
          <t>27418586714</t>
        </is>
      </c>
      <c r="G121" s="4" t="inlineStr">
        <is>
          <t>100m Serbest</t>
        </is>
      </c>
      <c r="H121" s="4" t="inlineStr">
        <is>
          <t>59.87</t>
        </is>
      </c>
      <c r="I121" s="4" t="inlineStr">
        <is>
          <t>100m Kelebek</t>
        </is>
      </c>
      <c r="J121" s="4" t="inlineStr">
        <is>
          <t>1:10.47</t>
        </is>
      </c>
      <c r="K121" s="4" t="inlineStr">
        <is>
          <t>200m Serbest</t>
        </is>
      </c>
      <c r="L121" s="4" t="inlineStr">
        <is>
          <t>2:11.91</t>
        </is>
      </c>
      <c r="M121" s="4" t="inlineStr">
        <is>
          <t>200m Karışık</t>
        </is>
      </c>
      <c r="N121" s="4" t="inlineStr">
        <is>
          <t>2:31.74</t>
        </is>
      </c>
      <c r="P121" t="inlineStr">
        <is>
          <t>Poseidon Spor Kulübü</t>
        </is>
      </c>
      <c r="Q121" t="inlineStr">
        <is>
          <t>Edirne</t>
        </is>
      </c>
      <c r="R121">
        <f>Q121=B121</f>
        <v/>
      </c>
      <c r="T121">
        <f>MATCH(D121,[1]Manual!$A:$A,0)</f>
        <v/>
      </c>
    </row>
    <row r="122" ht="15.95" customHeight="1">
      <c r="A122" s="2" t="n">
        <v>121</v>
      </c>
      <c r="B122" s="2" t="inlineStr">
        <is>
          <t>Edirne</t>
        </is>
      </c>
      <c r="C122" s="3" t="inlineStr">
        <is>
          <t>Erkek</t>
        </is>
      </c>
      <c r="D122" s="3" t="inlineStr">
        <is>
          <t>Eren ÇINAR</t>
        </is>
      </c>
      <c r="E122" s="2" t="inlineStr">
        <is>
          <t>13</t>
        </is>
      </c>
      <c r="F122" s="2" t="inlineStr">
        <is>
          <t>41863105383</t>
        </is>
      </c>
      <c r="G122" s="2" t="inlineStr">
        <is>
          <t>800m Serbest</t>
        </is>
      </c>
      <c r="H122" s="2" t="inlineStr">
        <is>
          <t>9:37.70</t>
        </is>
      </c>
      <c r="I122" s="2" t="inlineStr">
        <is>
          <t>100m Kelebek</t>
        </is>
      </c>
      <c r="J122" s="2" t="inlineStr">
        <is>
          <t>1:08.17</t>
        </is>
      </c>
      <c r="K122" s="2" t="inlineStr">
        <is>
          <t>1500m Serbest</t>
        </is>
      </c>
      <c r="L122" s="2" t="inlineStr">
        <is>
          <t>18:27.95</t>
        </is>
      </c>
      <c r="M122" s="2" t="inlineStr">
        <is>
          <t>200m Kelebek</t>
        </is>
      </c>
      <c r="N122" s="2" t="inlineStr">
        <is>
          <t>2:27.67</t>
        </is>
      </c>
      <c r="P122" t="inlineStr">
        <is>
          <t>Poseidon Spor Kulübü</t>
        </is>
      </c>
      <c r="Q122" t="inlineStr">
        <is>
          <t>Edirne</t>
        </is>
      </c>
      <c r="R122">
        <f>Q122=B122</f>
        <v/>
      </c>
      <c r="T122">
        <f>MATCH(D122,[1]Manual!$A:$A,0)</f>
        <v/>
      </c>
    </row>
    <row r="123" ht="15.95" customHeight="1">
      <c r="A123" s="4" t="n">
        <v>122</v>
      </c>
      <c r="B123" s="4" t="inlineStr">
        <is>
          <t>Edirne</t>
        </is>
      </c>
      <c r="C123" s="5" t="inlineStr">
        <is>
          <t>Erkek</t>
        </is>
      </c>
      <c r="D123" s="5" t="inlineStr">
        <is>
          <t>Tuna ÖZTOPRAK</t>
        </is>
      </c>
      <c r="E123" s="4" t="inlineStr">
        <is>
          <t>13</t>
        </is>
      </c>
      <c r="F123" s="4" t="inlineStr">
        <is>
          <t>18118076044</t>
        </is>
      </c>
      <c r="G123" s="4" t="inlineStr">
        <is>
          <t>400m Serbest</t>
        </is>
      </c>
      <c r="H123" s="4" t="inlineStr">
        <is>
          <t>4:43.05</t>
        </is>
      </c>
      <c r="I123" s="4" t="inlineStr">
        <is>
          <t>200m Sırtüstü</t>
        </is>
      </c>
      <c r="J123" s="4" t="inlineStr">
        <is>
          <t>2:23.35</t>
        </is>
      </c>
      <c r="K123" s="4" t="inlineStr">
        <is>
          <t>100m Sırtüstü</t>
        </is>
      </c>
      <c r="L123" s="4" t="inlineStr">
        <is>
          <t>1:07.87</t>
        </is>
      </c>
      <c r="M123" s="4" t="inlineStr">
        <is>
          <t>400m Karışık</t>
        </is>
      </c>
      <c r="N123" s="4" t="inlineStr">
        <is>
          <t>5:17.70</t>
        </is>
      </c>
      <c r="P123" t="inlineStr">
        <is>
          <t>Poseidon Spor Kulübü</t>
        </is>
      </c>
      <c r="Q123" t="inlineStr">
        <is>
          <t>Edirne</t>
        </is>
      </c>
      <c r="R123">
        <f>Q123=B123</f>
        <v/>
      </c>
      <c r="T123">
        <f>MATCH(D123,[1]Manual!$A:$A,0)</f>
        <v/>
      </c>
    </row>
    <row r="124" ht="15.95" customHeight="1">
      <c r="A124" s="2" t="n">
        <v>123</v>
      </c>
      <c r="B124" s="2" t="inlineStr">
        <is>
          <t>Edirne</t>
        </is>
      </c>
      <c r="C124" s="3" t="inlineStr">
        <is>
          <t>Erkek</t>
        </is>
      </c>
      <c r="D124" s="3" t="inlineStr">
        <is>
          <t>Yağız KANCA</t>
        </is>
      </c>
      <c r="E124" s="2" t="inlineStr">
        <is>
          <t>12</t>
        </is>
      </c>
      <c r="F124" s="2" t="inlineStr">
        <is>
          <t>21619782258</t>
        </is>
      </c>
      <c r="G124" s="2" t="inlineStr">
        <is>
          <t>50m Serbest</t>
        </is>
      </c>
      <c r="H124" s="2" t="inlineStr">
        <is>
          <t>26.40</t>
        </is>
      </c>
      <c r="I124" s="2" t="inlineStr">
        <is>
          <t>50m Sırtüstü</t>
        </is>
      </c>
      <c r="J124" s="2" t="inlineStr">
        <is>
          <t>31.63</t>
        </is>
      </c>
      <c r="K124" s="2" t="inlineStr">
        <is>
          <t>100m Serbest</t>
        </is>
      </c>
      <c r="L124" s="2" t="inlineStr">
        <is>
          <t>57.65</t>
        </is>
      </c>
      <c r="M124" s="2" t="inlineStr">
        <is>
          <t>50m Kelebek</t>
        </is>
      </c>
      <c r="N124" s="2" t="inlineStr">
        <is>
          <t>28.00</t>
        </is>
      </c>
      <c r="P124" t="inlineStr">
        <is>
          <t>Poseidon Spor Kulübü</t>
        </is>
      </c>
      <c r="Q124" t="inlineStr">
        <is>
          <t>Edirne</t>
        </is>
      </c>
      <c r="R124">
        <f>Q124=B124</f>
        <v/>
      </c>
      <c r="T124">
        <f>MATCH(D124,[1]Manual!$A:$A,0)</f>
        <v/>
      </c>
    </row>
    <row r="125" ht="15.95" customHeight="1">
      <c r="A125" s="4" t="n">
        <v>124</v>
      </c>
      <c r="B125" s="4" t="inlineStr">
        <is>
          <t>Edirne</t>
        </is>
      </c>
      <c r="C125" s="5" t="inlineStr">
        <is>
          <t>Erkek</t>
        </is>
      </c>
      <c r="D125" s="5" t="inlineStr">
        <is>
          <t>Ilgaz FIRTINA</t>
        </is>
      </c>
      <c r="E125" s="4" t="inlineStr">
        <is>
          <t>12</t>
        </is>
      </c>
      <c r="F125" s="4" t="inlineStr">
        <is>
          <t>13388056624</t>
        </is>
      </c>
      <c r="G125" s="4" t="inlineStr">
        <is>
          <t>200m Serbest</t>
        </is>
      </c>
      <c r="H125" s="4" t="inlineStr">
        <is>
          <t>2:06.57</t>
        </is>
      </c>
      <c r="I125" s="4" t="inlineStr">
        <is>
          <t>800m Serbest</t>
        </is>
      </c>
      <c r="J125" s="4" t="inlineStr">
        <is>
          <t>9:11.35</t>
        </is>
      </c>
      <c r="K125" s="4" t="inlineStr">
        <is>
          <t>400m Serbest</t>
        </is>
      </c>
      <c r="L125" s="4" t="inlineStr">
        <is>
          <t>4:28.16</t>
        </is>
      </c>
      <c r="M125" s="4" t="inlineStr">
        <is>
          <t>1500m Serbest</t>
        </is>
      </c>
      <c r="N125" s="4" t="inlineStr">
        <is>
          <t>17:38.83</t>
        </is>
      </c>
      <c r="P125" s="6" t="inlineStr">
        <is>
          <t>Poseidon Spor Kulübü</t>
        </is>
      </c>
      <c r="Q125" s="6" t="inlineStr">
        <is>
          <t>Edirne</t>
        </is>
      </c>
      <c r="R125">
        <f>Q125=B125</f>
        <v/>
      </c>
      <c r="T125">
        <f>MATCH(D125,[1]Manual!$A:$A,0)</f>
        <v/>
      </c>
    </row>
    <row r="126" ht="15.95" customHeight="1">
      <c r="A126" s="2" t="n">
        <v>125</v>
      </c>
      <c r="B126" s="2" t="inlineStr">
        <is>
          <t>Edirne</t>
        </is>
      </c>
      <c r="C126" s="3" t="inlineStr">
        <is>
          <t>Bayan</t>
        </is>
      </c>
      <c r="D126" s="3" t="inlineStr">
        <is>
          <t>Beren ULUAĞAÇ</t>
        </is>
      </c>
      <c r="E126" s="2" t="inlineStr">
        <is>
          <t>14</t>
        </is>
      </c>
      <c r="F126" s="2" t="inlineStr">
        <is>
          <t>44920005224</t>
        </is>
      </c>
      <c r="G126" s="2" t="inlineStr">
        <is>
          <t>200m Serbest</t>
        </is>
      </c>
      <c r="H126" s="2" t="inlineStr">
        <is>
          <t>2:31.03</t>
        </is>
      </c>
      <c r="I126" s="2" t="inlineStr">
        <is>
          <t>800m Serbest</t>
        </is>
      </c>
      <c r="J126" s="2" t="inlineStr">
        <is>
          <t>10:38.08</t>
        </is>
      </c>
      <c r="K126" s="2" t="inlineStr">
        <is>
          <t>400m Serbest</t>
        </is>
      </c>
      <c r="L126" s="2" t="inlineStr">
        <is>
          <t>5:07.46</t>
        </is>
      </c>
      <c r="M126" s="2" t="inlineStr">
        <is>
          <t>1500m Serbest</t>
        </is>
      </c>
      <c r="N126" s="2" t="inlineStr">
        <is>
          <t>20:08.33</t>
        </is>
      </c>
      <c r="P126" s="6" t="inlineStr">
        <is>
          <t>Poseidon Spor Kulübü</t>
        </is>
      </c>
      <c r="Q126" s="6" t="inlineStr">
        <is>
          <t>Edirne</t>
        </is>
      </c>
      <c r="R126">
        <f>Q126=B126</f>
        <v/>
      </c>
      <c r="T126">
        <f>MATCH(D126,[1]Manual!$A:$A,0)</f>
        <v/>
      </c>
    </row>
    <row r="127" ht="15.95" customHeight="1">
      <c r="A127" s="4" t="n">
        <v>126</v>
      </c>
      <c r="B127" s="4" t="inlineStr">
        <is>
          <t>Edirne</t>
        </is>
      </c>
      <c r="C127" s="5" t="inlineStr">
        <is>
          <t>Bayan</t>
        </is>
      </c>
      <c r="D127" s="5" t="inlineStr">
        <is>
          <t>Esil Erva DURU</t>
        </is>
      </c>
      <c r="E127" s="4" t="inlineStr">
        <is>
          <t>13</t>
        </is>
      </c>
      <c r="F127" s="4" t="inlineStr">
        <is>
          <t>37036266221</t>
        </is>
      </c>
      <c r="G127" s="4" t="inlineStr">
        <is>
          <t>200m Serbest</t>
        </is>
      </c>
      <c r="H127" s="4" t="inlineStr">
        <is>
          <t>2:18.94</t>
        </is>
      </c>
      <c r="I127" s="4" t="inlineStr">
        <is>
          <t>800m Serbest</t>
        </is>
      </c>
      <c r="J127" s="4" t="inlineStr">
        <is>
          <t>9:54.42</t>
        </is>
      </c>
      <c r="K127" s="4" t="inlineStr">
        <is>
          <t>400m Serbest</t>
        </is>
      </c>
      <c r="L127" s="4" t="inlineStr">
        <is>
          <t>4:47.89</t>
        </is>
      </c>
      <c r="M127" s="4" t="inlineStr">
        <is>
          <t>1500m Serbest</t>
        </is>
      </c>
      <c r="N127" s="4" t="inlineStr">
        <is>
          <t>19:07.55</t>
        </is>
      </c>
      <c r="P127" t="inlineStr">
        <is>
          <t>Poseidon Spor Kulübü</t>
        </is>
      </c>
      <c r="Q127" t="inlineStr">
        <is>
          <t>Edirne</t>
        </is>
      </c>
      <c r="R127">
        <f>Q127=B127</f>
        <v/>
      </c>
      <c r="T127">
        <f>MATCH(D127,[1]Manual!$A:$A,0)</f>
        <v/>
      </c>
    </row>
    <row r="128" ht="15.95" customHeight="1">
      <c r="A128" s="2" t="n">
        <v>127</v>
      </c>
      <c r="B128" s="8" t="inlineStr">
        <is>
          <t>Edirne</t>
        </is>
      </c>
      <c r="C128" s="3" t="inlineStr">
        <is>
          <t>Bayan</t>
        </is>
      </c>
      <c r="D128" s="3" t="inlineStr">
        <is>
          <t>ılgım ERTAŞ</t>
        </is>
      </c>
      <c r="E128" s="2" t="inlineStr">
        <is>
          <t>14</t>
        </is>
      </c>
      <c r="F128" s="2" t="inlineStr">
        <is>
          <t>22348763716</t>
        </is>
      </c>
      <c r="G128" s="2" t="inlineStr">
        <is>
          <t>100m Kelebek</t>
        </is>
      </c>
      <c r="H128" s="2" t="inlineStr">
        <is>
          <t>1:07.54</t>
        </is>
      </c>
      <c r="I128" s="2" t="inlineStr">
        <is>
          <t>200m Karışık</t>
        </is>
      </c>
      <c r="J128" s="2" t="inlineStr">
        <is>
          <t>2:32.03</t>
        </is>
      </c>
      <c r="K128" s="2" t="inlineStr">
        <is>
          <t>200m Kelebek</t>
        </is>
      </c>
      <c r="L128" s="2" t="inlineStr">
        <is>
          <t>2:34.01</t>
        </is>
      </c>
      <c r="M128" s="2" t="inlineStr">
        <is>
          <t>400m Karışık</t>
        </is>
      </c>
      <c r="N128" s="2" t="inlineStr">
        <is>
          <t>5:18.88</t>
        </is>
      </c>
      <c r="P128" s="12" t="inlineStr">
        <is>
          <t>Kirklareli Bati Spor Kulübü</t>
        </is>
      </c>
      <c r="Q128" s="9" t="inlineStr">
        <is>
          <t>Kırklareli</t>
        </is>
      </c>
      <c r="R128">
        <f>Q128=B128</f>
        <v/>
      </c>
      <c r="S128" s="9" t="inlineStr">
        <is>
          <t>Kulübü Kırklareli ama Sem girişi Edirne'den yapılmış, Edirne kalsın , start  listesinde bakarız</t>
        </is>
      </c>
      <c r="T128">
        <f>MATCH(D128,[1]Manual!$A:$A,0)</f>
        <v/>
      </c>
    </row>
    <row r="129" ht="15.95" customHeight="1">
      <c r="A129" s="4" t="n">
        <v>128</v>
      </c>
      <c r="B129" s="4" t="inlineStr">
        <is>
          <t>Eskişehir</t>
        </is>
      </c>
      <c r="C129" s="5" t="inlineStr">
        <is>
          <t>Erkek</t>
        </is>
      </c>
      <c r="D129" s="5" t="inlineStr">
        <is>
          <t>Ali Kaan ŞEN</t>
        </is>
      </c>
      <c r="E129" s="4" t="inlineStr">
        <is>
          <t>11</t>
        </is>
      </c>
      <c r="F129" s="4" t="inlineStr">
        <is>
          <t>11847155852</t>
        </is>
      </c>
      <c r="G129" s="4" t="inlineStr">
        <is>
          <t>50m Serbest</t>
        </is>
      </c>
      <c r="H129" s="4" t="inlineStr">
        <is>
          <t>25.89</t>
        </is>
      </c>
      <c r="I129" s="4" t="inlineStr">
        <is>
          <t>200m Serbest</t>
        </is>
      </c>
      <c r="J129" s="4" t="inlineStr">
        <is>
          <t>2:00.68</t>
        </is>
      </c>
      <c r="K129" s="4" t="inlineStr">
        <is>
          <t>100m Serbest</t>
        </is>
      </c>
      <c r="L129" s="4" t="inlineStr">
        <is>
          <t>55.23</t>
        </is>
      </c>
      <c r="M129" s="4" t="inlineStr">
        <is>
          <t>800m Serbest</t>
        </is>
      </c>
      <c r="N129" s="4" t="inlineStr">
        <is>
          <t>9:05.43</t>
        </is>
      </c>
      <c r="P129" t="inlineStr">
        <is>
          <t>Lotus Yüzme Spor Kulübü</t>
        </is>
      </c>
      <c r="Q129" t="inlineStr">
        <is>
          <t>Eskişehir</t>
        </is>
      </c>
      <c r="R129">
        <f>Q129=B129</f>
        <v/>
      </c>
      <c r="T129">
        <f>MATCH(D129,[1]Manual!$A:$A,0)</f>
        <v/>
      </c>
    </row>
    <row r="130" ht="15.95" customHeight="1">
      <c r="A130" s="2" t="n">
        <v>129</v>
      </c>
      <c r="B130" s="2" t="inlineStr">
        <is>
          <t>Eskişehir</t>
        </is>
      </c>
      <c r="C130" s="3" t="inlineStr">
        <is>
          <t>Erkek</t>
        </is>
      </c>
      <c r="D130" s="3" t="inlineStr">
        <is>
          <t>Deniz YAVUZ</t>
        </is>
      </c>
      <c r="E130" s="2" t="inlineStr">
        <is>
          <t>11</t>
        </is>
      </c>
      <c r="F130" s="2" t="inlineStr">
        <is>
          <t>25046715858</t>
        </is>
      </c>
      <c r="G130" s="2" t="inlineStr">
        <is>
          <t>50m Serbest</t>
        </is>
      </c>
      <c r="H130" s="2" t="inlineStr">
        <is>
          <t>26.29</t>
        </is>
      </c>
      <c r="I130" s="2" t="inlineStr">
        <is>
          <t>200m Serbest</t>
        </is>
      </c>
      <c r="J130" s="2" t="inlineStr">
        <is>
          <t>2:02.06</t>
        </is>
      </c>
      <c r="K130" s="2" t="inlineStr">
        <is>
          <t>100m Serbest</t>
        </is>
      </c>
      <c r="L130" s="2" t="inlineStr">
        <is>
          <t>56.09</t>
        </is>
      </c>
      <c r="M130" s="2" t="inlineStr">
        <is>
          <t>50m Kelebek</t>
        </is>
      </c>
      <c r="N130" s="2" t="inlineStr">
        <is>
          <t>28.32</t>
        </is>
      </c>
      <c r="P130" t="inlineStr">
        <is>
          <t>Eskişehir Gençlik Ve Spor Il Müdürlüğü Spor Kulübü</t>
        </is>
      </c>
      <c r="Q130" t="inlineStr">
        <is>
          <t>Eskişehir</t>
        </is>
      </c>
      <c r="R130">
        <f>Q130=B130</f>
        <v/>
      </c>
      <c r="T130">
        <f>MATCH(D130,[1]Manual!$A:$A,0)</f>
        <v/>
      </c>
    </row>
    <row r="131" ht="15.95" customHeight="1">
      <c r="A131" s="4" t="n">
        <v>130</v>
      </c>
      <c r="B131" s="4" t="inlineStr">
        <is>
          <t>Eskişehir</t>
        </is>
      </c>
      <c r="C131" s="5" t="inlineStr">
        <is>
          <t>Erkek</t>
        </is>
      </c>
      <c r="D131" s="5" t="inlineStr">
        <is>
          <t>Egemen ATÇI</t>
        </is>
      </c>
      <c r="E131" s="4" t="inlineStr">
        <is>
          <t>14</t>
        </is>
      </c>
      <c r="F131" s="4" t="inlineStr">
        <is>
          <t>35131603319</t>
        </is>
      </c>
      <c r="G131" s="4" t="inlineStr">
        <is>
          <t>100m Serbest</t>
        </is>
      </c>
      <c r="H131" s="4" t="inlineStr">
        <is>
          <t>1:04.83</t>
        </is>
      </c>
      <c r="I131" s="4" t="inlineStr">
        <is>
          <t>200m Sırtüstü</t>
        </is>
      </c>
      <c r="J131" s="4" t="inlineStr">
        <is>
          <t>2:37.84</t>
        </is>
      </c>
      <c r="K131" s="4" t="inlineStr">
        <is>
          <t>100m Sırtüstü</t>
        </is>
      </c>
      <c r="L131" s="4" t="inlineStr">
        <is>
          <t>1:12.04</t>
        </is>
      </c>
      <c r="M131" s="4" t="inlineStr">
        <is>
          <t>400m Karışık</t>
        </is>
      </c>
      <c r="N131" s="4" t="inlineStr">
        <is>
          <t>NT</t>
        </is>
      </c>
      <c r="P131" t="inlineStr">
        <is>
          <t>Eskisehir Su Sporları Spor Kulübü</t>
        </is>
      </c>
      <c r="Q131" t="inlineStr">
        <is>
          <t>Eskişehir</t>
        </is>
      </c>
      <c r="R131">
        <f>Q131=B131</f>
        <v/>
      </c>
      <c r="T131">
        <f>MATCH(D131,[1]Manual!$A:$A,0)</f>
        <v/>
      </c>
    </row>
    <row r="132" ht="15.95" customHeight="1">
      <c r="A132" s="2" t="n">
        <v>131</v>
      </c>
      <c r="B132" s="2" t="inlineStr">
        <is>
          <t>Eskişehir</t>
        </is>
      </c>
      <c r="C132" s="3" t="inlineStr">
        <is>
          <t>Erkek</t>
        </is>
      </c>
      <c r="D132" s="3" t="inlineStr">
        <is>
          <t>Enes Berkay Onlat</t>
        </is>
      </c>
      <c r="E132" s="2" t="inlineStr">
        <is>
          <t>11</t>
        </is>
      </c>
      <c r="F132" s="2" t="inlineStr">
        <is>
          <t>13701096522</t>
        </is>
      </c>
      <c r="G132" s="2" t="inlineStr">
        <is>
          <t>200m Serbest</t>
        </is>
      </c>
      <c r="H132" s="2" t="inlineStr">
        <is>
          <t>2:06.76</t>
        </is>
      </c>
      <c r="I132" s="2" t="inlineStr">
        <is>
          <t>800m Serbest</t>
        </is>
      </c>
      <c r="J132" s="2" t="inlineStr">
        <is>
          <t>9:08.83</t>
        </is>
      </c>
      <c r="K132" s="2" t="inlineStr">
        <is>
          <t>400m Serbest</t>
        </is>
      </c>
      <c r="L132" s="2" t="inlineStr">
        <is>
          <t>4:25.44</t>
        </is>
      </c>
      <c r="M132" s="2" t="inlineStr">
        <is>
          <t>100m Kurbağalama</t>
        </is>
      </c>
      <c r="N132" s="2" t="inlineStr">
        <is>
          <t>1:18.85</t>
        </is>
      </c>
      <c r="P132" t="inlineStr">
        <is>
          <t>Lotus Yüzme Spor Kulübü</t>
        </is>
      </c>
      <c r="Q132" t="inlineStr">
        <is>
          <t>Eskişehir</t>
        </is>
      </c>
      <c r="R132">
        <f>Q132=B132</f>
        <v/>
      </c>
      <c r="T132">
        <f>MATCH(D132,[1]Manual!$A:$A,0)</f>
        <v/>
      </c>
    </row>
    <row r="133" ht="15.95" customHeight="1">
      <c r="A133" s="4" t="n">
        <v>132</v>
      </c>
      <c r="B133" s="4" t="inlineStr">
        <is>
          <t>Eskişehir</t>
        </is>
      </c>
      <c r="C133" s="5" t="inlineStr">
        <is>
          <t>Erkek</t>
        </is>
      </c>
      <c r="D133" s="5" t="inlineStr">
        <is>
          <t>Erdem KIRCA</t>
        </is>
      </c>
      <c r="E133" s="4" t="inlineStr">
        <is>
          <t>12</t>
        </is>
      </c>
      <c r="F133" s="4" t="inlineStr">
        <is>
          <t>72925122422</t>
        </is>
      </c>
      <c r="G133" s="4" t="inlineStr">
        <is>
          <t>200m Serbest</t>
        </is>
      </c>
      <c r="H133" s="4" t="inlineStr">
        <is>
          <t>2:05.56</t>
        </is>
      </c>
      <c r="I133" s="4" t="inlineStr">
        <is>
          <t>800m Serbest</t>
        </is>
      </c>
      <c r="J133" s="4" t="inlineStr">
        <is>
          <t>9:08.15</t>
        </is>
      </c>
      <c r="K133" s="4" t="inlineStr">
        <is>
          <t>400m Serbest</t>
        </is>
      </c>
      <c r="L133" s="4" t="inlineStr">
        <is>
          <t>4:23.32</t>
        </is>
      </c>
      <c r="M133" s="4" t="inlineStr">
        <is>
          <t>200m Kelebek</t>
        </is>
      </c>
      <c r="N133" s="4" t="inlineStr">
        <is>
          <t>2:22.25</t>
        </is>
      </c>
      <c r="P133" s="12" t="inlineStr">
        <is>
          <t>Lotus Yüzme Spor Kulübü</t>
        </is>
      </c>
      <c r="Q133" s="12" t="inlineStr">
        <is>
          <t>Eskişehir</t>
        </is>
      </c>
      <c r="R133">
        <f>Q133=B133</f>
        <v/>
      </c>
      <c r="T133">
        <f>MATCH(D133,[1]Manual!$A:$A,0)</f>
        <v/>
      </c>
    </row>
    <row r="134" ht="15.95" customHeight="1">
      <c r="A134" s="2" t="n">
        <v>133</v>
      </c>
      <c r="B134" s="2" t="inlineStr">
        <is>
          <t>Eskişehir</t>
        </is>
      </c>
      <c r="C134" s="3" t="inlineStr">
        <is>
          <t>Erkek</t>
        </is>
      </c>
      <c r="D134" s="3" t="inlineStr">
        <is>
          <t>Eymen BAYINDIR</t>
        </is>
      </c>
      <c r="E134" s="2" t="inlineStr">
        <is>
          <t>09</t>
        </is>
      </c>
      <c r="F134" s="2" t="inlineStr">
        <is>
          <t>23803382611</t>
        </is>
      </c>
      <c r="G134" s="2" t="inlineStr">
        <is>
          <t>100m Serbest</t>
        </is>
      </c>
      <c r="H134" s="2" t="inlineStr">
        <is>
          <t>53.94</t>
        </is>
      </c>
      <c r="I134" s="2" t="inlineStr">
        <is>
          <t>400m Serbest</t>
        </is>
      </c>
      <c r="J134" s="2" t="inlineStr">
        <is>
          <t>4:27.49</t>
        </is>
      </c>
      <c r="K134" s="2" t="inlineStr">
        <is>
          <t>200m Serbest</t>
        </is>
      </c>
      <c r="L134" s="2" t="inlineStr">
        <is>
          <t>1:56.67</t>
        </is>
      </c>
      <c r="M134" s="2" t="inlineStr">
        <is>
          <t>50m Kelebek</t>
        </is>
      </c>
      <c r="N134" s="2" t="inlineStr">
        <is>
          <t>27.35</t>
        </is>
      </c>
      <c r="P134" s="12" t="inlineStr">
        <is>
          <t>Eskisehir Su Sporları Kulübü Derneği</t>
        </is>
      </c>
      <c r="Q134" s="12" t="inlineStr">
        <is>
          <t>Eskişehir</t>
        </is>
      </c>
      <c r="R134">
        <f>Q134=B134</f>
        <v/>
      </c>
      <c r="T134">
        <f>MATCH(D134,[1]Manual!$A:$A,0)</f>
        <v/>
      </c>
    </row>
    <row r="135" ht="15.95" customHeight="1">
      <c r="A135" s="4" t="n">
        <v>134</v>
      </c>
      <c r="B135" s="4" t="inlineStr">
        <is>
          <t>Eskişehir</t>
        </is>
      </c>
      <c r="C135" s="5" t="inlineStr">
        <is>
          <t>Erkek</t>
        </is>
      </c>
      <c r="D135" s="5" t="inlineStr">
        <is>
          <t>Kerem TOPAL</t>
        </is>
      </c>
      <c r="E135" s="4" t="inlineStr">
        <is>
          <t>10</t>
        </is>
      </c>
      <c r="F135" s="4" t="inlineStr">
        <is>
          <t>28325606513</t>
        </is>
      </c>
      <c r="G135" s="4" t="inlineStr">
        <is>
          <t>100m Serbest</t>
        </is>
      </c>
      <c r="H135" s="4" t="inlineStr">
        <is>
          <t>54.28</t>
        </is>
      </c>
      <c r="I135" s="4" t="inlineStr">
        <is>
          <t>100m Kelebek</t>
        </is>
      </c>
      <c r="J135" s="4" t="inlineStr">
        <is>
          <t>58.92</t>
        </is>
      </c>
      <c r="K135" s="4" t="inlineStr">
        <is>
          <t>200m Serbest</t>
        </is>
      </c>
      <c r="L135" s="4" t="inlineStr">
        <is>
          <t>1:58.86</t>
        </is>
      </c>
      <c r="M135" s="4" t="inlineStr">
        <is>
          <t>200m Karışık</t>
        </is>
      </c>
      <c r="N135" s="4" t="inlineStr">
        <is>
          <t>2:13.60</t>
        </is>
      </c>
      <c r="P135" s="12" t="inlineStr">
        <is>
          <t>Eskisehir Su Sporları Kulübü Derneği</t>
        </is>
      </c>
      <c r="Q135" s="12" t="inlineStr">
        <is>
          <t>Eskişehir</t>
        </is>
      </c>
      <c r="R135">
        <f>Q135=B135</f>
        <v/>
      </c>
      <c r="T135">
        <f>MATCH(D135,[1]Manual!$A:$A,0)</f>
        <v/>
      </c>
    </row>
    <row r="136" ht="15.95" customHeight="1">
      <c r="A136" s="2" t="n">
        <v>135</v>
      </c>
      <c r="B136" s="11" t="inlineStr">
        <is>
          <t>Eskişehir</t>
        </is>
      </c>
      <c r="C136" s="3" t="inlineStr">
        <is>
          <t>Erkek</t>
        </is>
      </c>
      <c r="D136" s="3" t="inlineStr">
        <is>
          <t>Murat SAKA</t>
        </is>
      </c>
      <c r="E136" s="2" t="inlineStr">
        <is>
          <t>14</t>
        </is>
      </c>
      <c r="F136" s="2" t="inlineStr">
        <is>
          <t>47779640727</t>
        </is>
      </c>
      <c r="G136" s="2" t="inlineStr">
        <is>
          <t>200m Serbest</t>
        </is>
      </c>
      <c r="H136" s="2" t="inlineStr">
        <is>
          <t>2:25.33</t>
        </is>
      </c>
      <c r="I136" s="2" t="inlineStr">
        <is>
          <t>200m Kelebek</t>
        </is>
      </c>
      <c r="J136" s="2" t="inlineStr">
        <is>
          <t>NT</t>
        </is>
      </c>
      <c r="K136" s="2" t="inlineStr">
        <is>
          <t>800m Serbest</t>
        </is>
      </c>
      <c r="L136" s="2" t="inlineStr">
        <is>
          <t>11:21.09</t>
        </is>
      </c>
      <c r="M136" s="2" t="inlineStr">
        <is>
          <t>200m Karışık</t>
        </is>
      </c>
      <c r="N136" s="2" t="inlineStr">
        <is>
          <t>2:44.04</t>
        </is>
      </c>
      <c r="P136" t="inlineStr">
        <is>
          <t>Eskisehir Su Sporları Spor Kulübü</t>
        </is>
      </c>
      <c r="Q136" s="10" t="inlineStr">
        <is>
          <t>Eskişehir</t>
        </is>
      </c>
      <c r="R136">
        <f>Q136=B136</f>
        <v/>
      </c>
      <c r="S136" s="15" t="inlineStr">
        <is>
          <t>2014'lü Eskişehir Su Sporları</t>
        </is>
      </c>
      <c r="T136">
        <f>MATCH(D136,[1]Manual!$A:$A,0)</f>
        <v/>
      </c>
    </row>
    <row r="137" ht="15.95" customHeight="1">
      <c r="A137" s="4" t="n">
        <v>136</v>
      </c>
      <c r="B137" s="4" t="inlineStr">
        <is>
          <t>Eskişehir</t>
        </is>
      </c>
      <c r="C137" s="5" t="inlineStr">
        <is>
          <t>Erkek</t>
        </is>
      </c>
      <c r="D137" s="5" t="inlineStr">
        <is>
          <t>Onur Çağan ERTEN</t>
        </is>
      </c>
      <c r="E137" s="4" t="inlineStr">
        <is>
          <t>11</t>
        </is>
      </c>
      <c r="F137" s="4" t="inlineStr">
        <is>
          <t>16748994955</t>
        </is>
      </c>
      <c r="G137" s="4" t="inlineStr">
        <is>
          <t>50m Serbest</t>
        </is>
      </c>
      <c r="H137" s="4" t="inlineStr">
        <is>
          <t>25.94</t>
        </is>
      </c>
      <c r="I137" s="4" t="inlineStr">
        <is>
          <t>100m Sırtüstü</t>
        </is>
      </c>
      <c r="J137" s="4" t="inlineStr">
        <is>
          <t>1:03.65</t>
        </is>
      </c>
      <c r="K137" s="4" t="inlineStr">
        <is>
          <t>50m Sırtüstü</t>
        </is>
      </c>
      <c r="L137" s="4" t="inlineStr">
        <is>
          <t>29.33</t>
        </is>
      </c>
      <c r="M137" s="4" t="inlineStr">
        <is>
          <t>50m Kelebek</t>
        </is>
      </c>
      <c r="N137" s="4" t="inlineStr">
        <is>
          <t>28.18</t>
        </is>
      </c>
      <c r="P137" t="inlineStr">
        <is>
          <t>Eskişehir Gençlik Ve Spor Il Müdürlüğü Spor Kulübü</t>
        </is>
      </c>
      <c r="Q137" t="inlineStr">
        <is>
          <t>Eskişehir</t>
        </is>
      </c>
      <c r="R137">
        <f>Q137=B137</f>
        <v/>
      </c>
      <c r="T137">
        <f>MATCH(D137,[1]Manual!$A:$A,0)</f>
        <v/>
      </c>
    </row>
    <row r="138" ht="15.95" customHeight="1">
      <c r="A138" s="2" t="n">
        <v>137</v>
      </c>
      <c r="B138" s="2" t="inlineStr">
        <is>
          <t>Eskişehir</t>
        </is>
      </c>
      <c r="C138" s="3" t="inlineStr">
        <is>
          <t>Erkek</t>
        </is>
      </c>
      <c r="D138" s="3" t="inlineStr">
        <is>
          <t>Çağlayan GÜNEŞ</t>
        </is>
      </c>
      <c r="E138" s="2" t="inlineStr">
        <is>
          <t>14</t>
        </is>
      </c>
      <c r="F138" s="2" t="inlineStr">
        <is>
          <t>26576667328</t>
        </is>
      </c>
      <c r="G138" s="2" t="inlineStr">
        <is>
          <t>200m Serbest</t>
        </is>
      </c>
      <c r="H138" s="2" t="inlineStr">
        <is>
          <t>2:21.36</t>
        </is>
      </c>
      <c r="I138" s="2" t="inlineStr">
        <is>
          <t>200m Kurbağalama</t>
        </is>
      </c>
      <c r="J138" s="2" t="inlineStr">
        <is>
          <t>2:58.64</t>
        </is>
      </c>
      <c r="K138" s="2" t="inlineStr">
        <is>
          <t>100m Kurbağalama</t>
        </is>
      </c>
      <c r="L138" s="2" t="inlineStr">
        <is>
          <t>1:21.89</t>
        </is>
      </c>
      <c r="M138" s="2" t="inlineStr">
        <is>
          <t>200m Karışık</t>
        </is>
      </c>
      <c r="N138" s="2" t="inlineStr">
        <is>
          <t>2:36.89</t>
        </is>
      </c>
      <c r="P138" t="inlineStr">
        <is>
          <t>Lotus Yüzme Spor Kulübü</t>
        </is>
      </c>
      <c r="Q138" t="inlineStr">
        <is>
          <t>Eskişehir</t>
        </is>
      </c>
      <c r="R138">
        <f>Q138=B138</f>
        <v/>
      </c>
      <c r="T138">
        <f>MATCH(D138,[1]Manual!$A:$A,0)</f>
        <v/>
      </c>
    </row>
    <row r="139" ht="15.95" customHeight="1">
      <c r="A139" s="4" t="n">
        <v>138</v>
      </c>
      <c r="B139" s="8" t="inlineStr">
        <is>
          <t>Eskişehir</t>
        </is>
      </c>
      <c r="C139" s="5" t="inlineStr">
        <is>
          <t>Bayan</t>
        </is>
      </c>
      <c r="D139" s="5" t="inlineStr">
        <is>
          <t>Defne UÇAR</t>
        </is>
      </c>
      <c r="E139" s="4" t="inlineStr">
        <is>
          <t>14</t>
        </is>
      </c>
      <c r="F139" s="4" t="inlineStr">
        <is>
          <t>63016453620</t>
        </is>
      </c>
      <c r="G139" s="4" t="inlineStr">
        <is>
          <t>200m Serbest</t>
        </is>
      </c>
      <c r="H139" s="4" t="inlineStr">
        <is>
          <t>2:24.67</t>
        </is>
      </c>
      <c r="I139" s="4" t="inlineStr">
        <is>
          <t>200m Kelebek</t>
        </is>
      </c>
      <c r="J139" s="4" t="inlineStr">
        <is>
          <t>2:43.22</t>
        </is>
      </c>
      <c r="K139" s="4" t="inlineStr">
        <is>
          <t>100m Kelebek</t>
        </is>
      </c>
      <c r="L139" s="4" t="inlineStr">
        <is>
          <t>1:13.92</t>
        </is>
      </c>
      <c r="M139" s="4" t="inlineStr">
        <is>
          <t>200m Karışık</t>
        </is>
      </c>
      <c r="N139" s="4" t="inlineStr">
        <is>
          <t>2:44.37</t>
        </is>
      </c>
      <c r="P139" s="9" t="inlineStr">
        <is>
          <t>Yıldız Su Sporları Spor Kulübü</t>
        </is>
      </c>
      <c r="Q139" s="9" t="inlineStr">
        <is>
          <t>Samsun</t>
        </is>
      </c>
      <c r="R139">
        <f>Q139=B139</f>
        <v/>
      </c>
      <c r="S139" s="9" t="inlineStr">
        <is>
          <t>Kulübü  Samsun ama , Giriş listesine nedense Eskişehir'den yazılmış, küçükken Eskişehir'de imiş, değiştirmeyelim Eskişehir kalsın Start listesinde bakarız</t>
        </is>
      </c>
      <c r="T139">
        <f>MATCH(D139,[1]Manual!$A:$A,0)</f>
        <v/>
      </c>
    </row>
    <row r="140" ht="15.95" customHeight="1">
      <c r="A140" s="2" t="n">
        <v>139</v>
      </c>
      <c r="B140" s="2" t="inlineStr">
        <is>
          <t>Eskişehir</t>
        </is>
      </c>
      <c r="C140" s="3" t="inlineStr">
        <is>
          <t>Bayan</t>
        </is>
      </c>
      <c r="D140" s="3" t="inlineStr">
        <is>
          <t>Ekin YILMAZ</t>
        </is>
      </c>
      <c r="E140" s="2" t="inlineStr">
        <is>
          <t>12</t>
        </is>
      </c>
      <c r="F140" s="2" t="inlineStr">
        <is>
          <t>74506069714</t>
        </is>
      </c>
      <c r="G140" s="2" t="inlineStr">
        <is>
          <t>100m Serbest</t>
        </is>
      </c>
      <c r="H140" s="2" t="inlineStr">
        <is>
          <t>1:03.26</t>
        </is>
      </c>
      <c r="I140" s="2" t="inlineStr">
        <is>
          <t>50m Sırtüstü</t>
        </is>
      </c>
      <c r="J140" s="2" t="inlineStr">
        <is>
          <t>32.70</t>
        </is>
      </c>
      <c r="K140" s="2" t="inlineStr">
        <is>
          <t>200m Serbest</t>
        </is>
      </c>
      <c r="L140" s="2" t="inlineStr">
        <is>
          <t>2:19.80</t>
        </is>
      </c>
      <c r="M140" s="2" t="inlineStr">
        <is>
          <t>100m Sırtüstü</t>
        </is>
      </c>
      <c r="N140" s="2" t="inlineStr">
        <is>
          <t>1:14.15</t>
        </is>
      </c>
      <c r="P140" t="inlineStr">
        <is>
          <t>Eskişehir Gençlik Ve Spor Il Müdürlüğü Spor Kulübü</t>
        </is>
      </c>
      <c r="Q140" t="inlineStr">
        <is>
          <t>Eskişehir</t>
        </is>
      </c>
      <c r="R140">
        <f>Q140=B140</f>
        <v/>
      </c>
      <c r="T140">
        <f>MATCH(D140,[1]Manual!$A:$A,0)</f>
        <v/>
      </c>
    </row>
    <row r="141" ht="15.95" customHeight="1">
      <c r="A141" s="4" t="n">
        <v>140</v>
      </c>
      <c r="B141" s="4" t="inlineStr">
        <is>
          <t>Eskişehir</t>
        </is>
      </c>
      <c r="C141" s="5" t="inlineStr">
        <is>
          <t>Bayan</t>
        </is>
      </c>
      <c r="D141" s="5" t="inlineStr">
        <is>
          <t>Hira Zeyneb MUTLU</t>
        </is>
      </c>
      <c r="E141" s="4" t="inlineStr">
        <is>
          <t>14</t>
        </is>
      </c>
      <c r="F141" s="4" t="inlineStr">
        <is>
          <t>13581103412</t>
        </is>
      </c>
      <c r="G141" s="4" t="inlineStr">
        <is>
          <t>100m Serbest</t>
        </is>
      </c>
      <c r="H141" s="4" t="inlineStr">
        <is>
          <t>1:14.32</t>
        </is>
      </c>
      <c r="I141" s="4" t="inlineStr">
        <is>
          <t>200m Kurbağalama</t>
        </is>
      </c>
      <c r="J141" s="4" t="inlineStr">
        <is>
          <t>3:03.25</t>
        </is>
      </c>
      <c r="K141" s="4" t="inlineStr">
        <is>
          <t>100m Kurbağalama</t>
        </is>
      </c>
      <c r="L141" s="4" t="inlineStr">
        <is>
          <t>1:27.20</t>
        </is>
      </c>
      <c r="M141" s="4" t="inlineStr">
        <is>
          <t>200m Karışık</t>
        </is>
      </c>
      <c r="N141" s="4" t="inlineStr">
        <is>
          <t>2:54.94</t>
        </is>
      </c>
      <c r="P141" t="inlineStr">
        <is>
          <t>Eskisehir Olimpik Kulaclar Spor Kulübü</t>
        </is>
      </c>
      <c r="Q141" t="inlineStr">
        <is>
          <t>Eskişehir</t>
        </is>
      </c>
      <c r="R141">
        <f>Q141=B141</f>
        <v/>
      </c>
      <c r="T141">
        <f>MATCH(D141,[1]Manual!$A:$A,0)</f>
        <v/>
      </c>
    </row>
    <row r="142" ht="15.95" customHeight="1">
      <c r="A142" s="2" t="n">
        <v>141</v>
      </c>
      <c r="B142" s="2" t="inlineStr">
        <is>
          <t>Eskişehir</t>
        </is>
      </c>
      <c r="C142" s="3" t="inlineStr">
        <is>
          <t>Bayan</t>
        </is>
      </c>
      <c r="D142" s="3" t="inlineStr">
        <is>
          <t>İnci TANRIVERDİ</t>
        </is>
      </c>
      <c r="E142" s="2" t="inlineStr">
        <is>
          <t>14</t>
        </is>
      </c>
      <c r="F142" s="2" t="inlineStr">
        <is>
          <t>24554741981</t>
        </is>
      </c>
      <c r="G142" s="2" t="inlineStr">
        <is>
          <t>800m Serbest</t>
        </is>
      </c>
      <c r="H142" s="2" t="inlineStr">
        <is>
          <t>11:17.18</t>
        </is>
      </c>
      <c r="I142" s="2" t="inlineStr">
        <is>
          <t>200m Kelebek</t>
        </is>
      </c>
      <c r="J142" s="2" t="inlineStr">
        <is>
          <t>NT</t>
        </is>
      </c>
      <c r="K142" s="2" t="inlineStr">
        <is>
          <t>100m Kelebek</t>
        </is>
      </c>
      <c r="L142" s="2" t="inlineStr">
        <is>
          <t>1:14.76</t>
        </is>
      </c>
      <c r="M142" s="2" t="inlineStr">
        <is>
          <t>200m Karışık</t>
        </is>
      </c>
      <c r="N142" s="2" t="inlineStr">
        <is>
          <t>2:48.06</t>
        </is>
      </c>
      <c r="P142" s="12" t="inlineStr">
        <is>
          <t>Eskisehir Olimpik Kulaclar Spor Kulübü</t>
        </is>
      </c>
      <c r="Q142" s="12" t="inlineStr">
        <is>
          <t>Eskişehir</t>
        </is>
      </c>
      <c r="R142">
        <f>Q142=B142</f>
        <v/>
      </c>
      <c r="T142">
        <f>MATCH(D142,[1]Manual!$A:$A,0)</f>
        <v/>
      </c>
    </row>
    <row r="143" ht="15.95" customHeight="1">
      <c r="A143" s="4" t="n">
        <v>142</v>
      </c>
      <c r="B143" s="4" t="inlineStr">
        <is>
          <t>Eskişehir</t>
        </is>
      </c>
      <c r="C143" s="5" t="inlineStr">
        <is>
          <t>Bayan</t>
        </is>
      </c>
      <c r="D143" s="5" t="inlineStr">
        <is>
          <t>Melis Ece ILTER</t>
        </is>
      </c>
      <c r="E143" s="4" t="inlineStr">
        <is>
          <t>14</t>
        </is>
      </c>
      <c r="F143" s="4" t="inlineStr">
        <is>
          <t>23882759828</t>
        </is>
      </c>
      <c r="G143" s="4" t="inlineStr">
        <is>
          <t>200m Serbest</t>
        </is>
      </c>
      <c r="H143" s="4" t="inlineStr">
        <is>
          <t>2:24.77</t>
        </is>
      </c>
      <c r="I143" s="4" t="inlineStr">
        <is>
          <t>800m Serbest</t>
        </is>
      </c>
      <c r="J143" s="4" t="inlineStr">
        <is>
          <t>NT</t>
        </is>
      </c>
      <c r="K143" s="4" t="inlineStr">
        <is>
          <t>400m Serbest</t>
        </is>
      </c>
      <c r="L143" s="4" t="inlineStr">
        <is>
          <t>5:01.41</t>
        </is>
      </c>
      <c r="M143" s="4" t="inlineStr">
        <is>
          <t>200m Karışık</t>
        </is>
      </c>
      <c r="N143" s="4" t="inlineStr">
        <is>
          <t>2:51.21</t>
        </is>
      </c>
      <c r="P143" t="inlineStr">
        <is>
          <t>Eskişehir Gençlik Ve Spor Il Müdürlüğü Spor Kulübü</t>
        </is>
      </c>
      <c r="Q143" t="inlineStr">
        <is>
          <t>Eskişehir</t>
        </is>
      </c>
      <c r="R143">
        <f>Q143=B143</f>
        <v/>
      </c>
      <c r="T143">
        <f>MATCH(D143,[1]Manual!$A:$A,0)</f>
        <v/>
      </c>
    </row>
    <row r="144" ht="15.95" customHeight="1">
      <c r="A144" s="2" t="n">
        <v>143</v>
      </c>
      <c r="B144" s="8" t="inlineStr">
        <is>
          <t>Eskişehir</t>
        </is>
      </c>
      <c r="C144" s="3" t="inlineStr">
        <is>
          <t>Bayan</t>
        </is>
      </c>
      <c r="D144" s="3" t="inlineStr">
        <is>
          <t>Seher KAYA</t>
        </is>
      </c>
      <c r="E144" s="2" t="inlineStr">
        <is>
          <t>10</t>
        </is>
      </c>
      <c r="F144" s="2" t="inlineStr">
        <is>
          <t>58612595483</t>
        </is>
      </c>
      <c r="G144" s="2" t="inlineStr">
        <is>
          <t>800m Serbest</t>
        </is>
      </c>
      <c r="H144" s="2" t="inlineStr">
        <is>
          <t>9:26.93</t>
        </is>
      </c>
      <c r="I144" s="2" t="inlineStr">
        <is>
          <t>100m Kelebek</t>
        </is>
      </c>
      <c r="J144" s="2" t="inlineStr">
        <is>
          <t>1:01.51</t>
        </is>
      </c>
      <c r="K144" s="2" t="inlineStr">
        <is>
          <t>50m Kelebek</t>
        </is>
      </c>
      <c r="L144" s="2" t="inlineStr">
        <is>
          <t>28.17</t>
        </is>
      </c>
      <c r="M144" s="2" t="inlineStr">
        <is>
          <t>200m Kelebek</t>
        </is>
      </c>
      <c r="N144" s="2" t="inlineStr">
        <is>
          <t>2:13.72</t>
        </is>
      </c>
      <c r="P144" s="6" t="inlineStr">
        <is>
          <t>Galatasaray Spor Kulübü</t>
        </is>
      </c>
      <c r="Q144" s="6" t="inlineStr">
        <is>
          <t>İstanbul</t>
        </is>
      </c>
      <c r="R144">
        <f>Q144=B144</f>
        <v/>
      </c>
      <c r="S144" s="9" t="inlineStr">
        <is>
          <t>Kulübü  Galatasaray ve İstanbul kulübü ama yaşadığı şehir Eskişehir, değiştirmeyelim Start listesine bakarız</t>
        </is>
      </c>
      <c r="T144">
        <f>MATCH(D144,[1]Manual!$A:$A,0)</f>
        <v/>
      </c>
    </row>
    <row r="145" ht="15.95" customHeight="1">
      <c r="A145" s="4" t="n">
        <v>144</v>
      </c>
      <c r="B145" s="4" t="inlineStr">
        <is>
          <t>Gaziantep</t>
        </is>
      </c>
      <c r="C145" s="5" t="inlineStr">
        <is>
          <t>Erkek</t>
        </is>
      </c>
      <c r="D145" s="5" t="inlineStr">
        <is>
          <t>Eymen ÇEVİK</t>
        </is>
      </c>
      <c r="E145" s="4" t="inlineStr">
        <is>
          <t>14</t>
        </is>
      </c>
      <c r="F145" s="4" t="inlineStr">
        <is>
          <t>14561154922</t>
        </is>
      </c>
      <c r="G145" s="4" t="inlineStr">
        <is>
          <t>200m Serbest</t>
        </is>
      </c>
      <c r="H145" s="4" t="inlineStr">
        <is>
          <t>2:23.29</t>
        </is>
      </c>
      <c r="I145" s="4" t="inlineStr">
        <is>
          <t>200m Kelebek</t>
        </is>
      </c>
      <c r="J145" s="4" t="inlineStr">
        <is>
          <t>2:56.17</t>
        </is>
      </c>
      <c r="K145" s="4" t="inlineStr">
        <is>
          <t>400m Serbest</t>
        </is>
      </c>
      <c r="L145" s="4" t="inlineStr">
        <is>
          <t>4:56.03</t>
        </is>
      </c>
      <c r="M145" s="4" t="inlineStr">
        <is>
          <t>200m Karışık</t>
        </is>
      </c>
      <c r="N145" s="4" t="inlineStr">
        <is>
          <t>2:40.45</t>
        </is>
      </c>
      <c r="P145" t="inlineStr">
        <is>
          <t>Gaziantep Şehitkamil Belediye Spor Kulübü</t>
        </is>
      </c>
      <c r="Q145" t="inlineStr">
        <is>
          <t>Gaziantep</t>
        </is>
      </c>
      <c r="R145">
        <f>Q145=B145</f>
        <v/>
      </c>
      <c r="T145">
        <f>MATCH(D145,[1]Manual!$A:$A,0)</f>
        <v/>
      </c>
    </row>
    <row r="146" ht="15.95" customHeight="1">
      <c r="A146" s="2" t="n">
        <v>145</v>
      </c>
      <c r="B146" s="2" t="inlineStr">
        <is>
          <t>Gaziantep</t>
        </is>
      </c>
      <c r="C146" s="3" t="inlineStr">
        <is>
          <t>Erkek</t>
        </is>
      </c>
      <c r="D146" s="3" t="inlineStr">
        <is>
          <t>Kartal KAYAR</t>
        </is>
      </c>
      <c r="E146" s="2" t="inlineStr">
        <is>
          <t>09</t>
        </is>
      </c>
      <c r="F146" s="2" t="inlineStr">
        <is>
          <t>33070535159</t>
        </is>
      </c>
      <c r="G146" s="2" t="inlineStr">
        <is>
          <t>50m Serbest</t>
        </is>
      </c>
      <c r="H146" s="2" t="inlineStr">
        <is>
          <t>24.48</t>
        </is>
      </c>
      <c r="I146" s="2" t="inlineStr">
        <is>
          <t>50m Kelebek</t>
        </is>
      </c>
      <c r="J146" s="2" t="inlineStr">
        <is>
          <t>27.33</t>
        </is>
      </c>
      <c r="K146" s="2" t="inlineStr">
        <is>
          <t>100m Serbest</t>
        </is>
      </c>
      <c r="L146" s="2" t="inlineStr">
        <is>
          <t>54.34</t>
        </is>
      </c>
      <c r="M146" s="2" t="n"/>
      <c r="N146" s="2" t="inlineStr">
        <is>
          <t>NT</t>
        </is>
      </c>
      <c r="P146" s="6" t="inlineStr">
        <is>
          <t>Gaziantep Gençlik Ve Spor İl Müdürlüğü Spor Kulübü</t>
        </is>
      </c>
      <c r="Q146" s="6" t="inlineStr">
        <is>
          <t>Gaziantep</t>
        </is>
      </c>
      <c r="R146">
        <f>Q146=B146</f>
        <v/>
      </c>
      <c r="T146">
        <f>MATCH(D146,[1]Manual!$A:$A,0)</f>
        <v/>
      </c>
    </row>
    <row r="147" ht="15.95" customHeight="1">
      <c r="A147" s="4" t="n">
        <v>146</v>
      </c>
      <c r="B147" s="4" t="inlineStr">
        <is>
          <t>Gaziantep</t>
        </is>
      </c>
      <c r="C147" s="5" t="inlineStr">
        <is>
          <t>Erkek</t>
        </is>
      </c>
      <c r="D147" s="5" t="inlineStr">
        <is>
          <t>Tarık Eren TÜFEKÇİ</t>
        </is>
      </c>
      <c r="E147" s="4" t="inlineStr">
        <is>
          <t>09</t>
        </is>
      </c>
      <c r="F147" s="4" t="inlineStr">
        <is>
          <t>10488201719</t>
        </is>
      </c>
      <c r="G147" s="4" t="inlineStr">
        <is>
          <t>100m Sırtüstü</t>
        </is>
      </c>
      <c r="H147" s="4" t="inlineStr">
        <is>
          <t>1:06.79</t>
        </is>
      </c>
      <c r="I147" s="4" t="inlineStr">
        <is>
          <t>100m Kelebek</t>
        </is>
      </c>
      <c r="J147" s="4" t="inlineStr">
        <is>
          <t>58.36</t>
        </is>
      </c>
      <c r="K147" s="4" t="inlineStr">
        <is>
          <t>50m Kelebek</t>
        </is>
      </c>
      <c r="L147" s="4" t="inlineStr">
        <is>
          <t>25.73</t>
        </is>
      </c>
      <c r="M147" s="4" t="inlineStr">
        <is>
          <t>200m Kelebek</t>
        </is>
      </c>
      <c r="N147" s="4" t="inlineStr">
        <is>
          <t>NT</t>
        </is>
      </c>
      <c r="P147" s="6" t="inlineStr">
        <is>
          <t>Gaziantep Gençlik Ve Spor İl Müdürlüğü Spor Kulübü</t>
        </is>
      </c>
      <c r="Q147" s="6" t="inlineStr">
        <is>
          <t>Gaziantep</t>
        </is>
      </c>
      <c r="R147">
        <f>Q147=B147</f>
        <v/>
      </c>
      <c r="T147">
        <f>MATCH(D147,[1]Manual!$A:$A,0)</f>
        <v/>
      </c>
    </row>
    <row r="148" ht="15.95" customHeight="1">
      <c r="A148" s="2" t="n">
        <v>147</v>
      </c>
      <c r="B148" s="2" t="inlineStr">
        <is>
          <t>Gaziantep</t>
        </is>
      </c>
      <c r="C148" s="3" t="inlineStr">
        <is>
          <t>Bayan</t>
        </is>
      </c>
      <c r="D148" s="3" t="inlineStr">
        <is>
          <t>Belemir Ada KAYA</t>
        </is>
      </c>
      <c r="E148" s="2" t="inlineStr">
        <is>
          <t>13</t>
        </is>
      </c>
      <c r="F148" s="2" t="inlineStr">
        <is>
          <t>19423997216</t>
        </is>
      </c>
      <c r="G148" s="2" t="inlineStr">
        <is>
          <t>100m Sırtüstü</t>
        </is>
      </c>
      <c r="H148" s="2" t="inlineStr">
        <is>
          <t>1:12.28</t>
        </is>
      </c>
      <c r="I148" s="2" t="inlineStr">
        <is>
          <t>100m Kelebek</t>
        </is>
      </c>
      <c r="J148" s="2" t="inlineStr">
        <is>
          <t>NT</t>
        </is>
      </c>
      <c r="K148" s="2" t="inlineStr">
        <is>
          <t>200m Sırtüstü</t>
        </is>
      </c>
      <c r="L148" s="2" t="inlineStr">
        <is>
          <t>2:36.98</t>
        </is>
      </c>
      <c r="M148" s="2" t="inlineStr">
        <is>
          <t>200m Karışık</t>
        </is>
      </c>
      <c r="N148" s="2" t="inlineStr">
        <is>
          <t>2:43.63</t>
        </is>
      </c>
      <c r="P148" t="inlineStr">
        <is>
          <t>Gaziantep Gençlik Ve Spor İl Müdürlüğü Spor Kulübü</t>
        </is>
      </c>
      <c r="Q148" t="inlineStr">
        <is>
          <t>Gaziantep</t>
        </is>
      </c>
      <c r="R148">
        <f>Q148=B148</f>
        <v/>
      </c>
      <c r="T148">
        <f>MATCH(D148,[1]Manual!$A:$A,0)</f>
        <v/>
      </c>
    </row>
    <row r="149" ht="15.95" customHeight="1">
      <c r="A149" s="4" t="n">
        <v>148</v>
      </c>
      <c r="B149" s="4" t="inlineStr">
        <is>
          <t>Gaziantep</t>
        </is>
      </c>
      <c r="C149" s="5" t="inlineStr">
        <is>
          <t>Bayan</t>
        </is>
      </c>
      <c r="D149" s="5" t="inlineStr">
        <is>
          <t>Berrak ÖZBAL</t>
        </is>
      </c>
      <c r="E149" s="4" t="inlineStr">
        <is>
          <t>14</t>
        </is>
      </c>
      <c r="F149" s="4" t="inlineStr">
        <is>
          <t>44962145522</t>
        </is>
      </c>
      <c r="G149" s="4" t="inlineStr">
        <is>
          <t>200m Serbest</t>
        </is>
      </c>
      <c r="H149" s="4" t="inlineStr">
        <is>
          <t>2:21.73</t>
        </is>
      </c>
      <c r="I149" s="4" t="inlineStr">
        <is>
          <t>100m Kurbağalama</t>
        </is>
      </c>
      <c r="J149" s="4" t="inlineStr">
        <is>
          <t>1:27.42</t>
        </is>
      </c>
      <c r="K149" s="4" t="inlineStr">
        <is>
          <t>400m Serbest</t>
        </is>
      </c>
      <c r="L149" s="4" t="inlineStr">
        <is>
          <t>4:57.71</t>
        </is>
      </c>
      <c r="M149" s="4" t="inlineStr">
        <is>
          <t>200m Karışık</t>
        </is>
      </c>
      <c r="N149" s="4" t="inlineStr">
        <is>
          <t>2:40.37</t>
        </is>
      </c>
      <c r="P149" t="inlineStr">
        <is>
          <t>Gaziantep Şehitkamil Belediye Spor Kulübü</t>
        </is>
      </c>
      <c r="Q149" t="inlineStr">
        <is>
          <t>Gaziantep</t>
        </is>
      </c>
      <c r="R149">
        <f>Q149=B149</f>
        <v/>
      </c>
      <c r="T149">
        <f>MATCH(D149,[1]Manual!$A:$A,0)</f>
        <v/>
      </c>
    </row>
    <row r="150" ht="15.95" customHeight="1">
      <c r="A150" s="2" t="n">
        <v>149</v>
      </c>
      <c r="B150" s="2" t="inlineStr">
        <is>
          <t>Gaziantep</t>
        </is>
      </c>
      <c r="C150" s="3" t="inlineStr">
        <is>
          <t>Bayan</t>
        </is>
      </c>
      <c r="D150" s="3" t="inlineStr">
        <is>
          <t>Elif DURUM</t>
        </is>
      </c>
      <c r="E150" s="2" t="inlineStr">
        <is>
          <t>13</t>
        </is>
      </c>
      <c r="F150" s="2" t="inlineStr">
        <is>
          <t>24553827311</t>
        </is>
      </c>
      <c r="G150" s="2" t="inlineStr">
        <is>
          <t>100m Kurbağalama</t>
        </is>
      </c>
      <c r="H150" s="2" t="inlineStr">
        <is>
          <t>1:20.29</t>
        </is>
      </c>
      <c r="I150" s="2" t="inlineStr">
        <is>
          <t>200m Karışık</t>
        </is>
      </c>
      <c r="J150" s="2" t="inlineStr">
        <is>
          <t>2:40.23</t>
        </is>
      </c>
      <c r="K150" s="2" t="inlineStr">
        <is>
          <t>200m Kurbağalama</t>
        </is>
      </c>
      <c r="L150" s="2" t="inlineStr">
        <is>
          <t>2:50.11</t>
        </is>
      </c>
      <c r="M150" s="2" t="inlineStr">
        <is>
          <t>400m Karışık</t>
        </is>
      </c>
      <c r="N150" s="2" t="inlineStr">
        <is>
          <t>5:33.80</t>
        </is>
      </c>
      <c r="P150" t="inlineStr">
        <is>
          <t>Gaziantep Şehitkamil Belediye Spor Kulübü</t>
        </is>
      </c>
      <c r="Q150" t="inlineStr">
        <is>
          <t>Gaziantep</t>
        </is>
      </c>
      <c r="R150">
        <f>Q150=B150</f>
        <v/>
      </c>
      <c r="T150">
        <f>MATCH(D150,[1]Manual!$A:$A,0)</f>
        <v/>
      </c>
    </row>
    <row r="151" ht="15.95" customHeight="1">
      <c r="A151" s="4" t="n">
        <v>150</v>
      </c>
      <c r="B151" s="4" t="inlineStr">
        <is>
          <t>Gaziantep</t>
        </is>
      </c>
      <c r="C151" s="5" t="inlineStr">
        <is>
          <t>Bayan</t>
        </is>
      </c>
      <c r="D151" s="5" t="inlineStr">
        <is>
          <t>Fatma Berra Özer</t>
        </is>
      </c>
      <c r="E151" s="4" t="inlineStr">
        <is>
          <t>13</t>
        </is>
      </c>
      <c r="F151" s="4" t="inlineStr">
        <is>
          <t>41050271717</t>
        </is>
      </c>
      <c r="G151" s="4" t="inlineStr">
        <is>
          <t>100m Kelebek</t>
        </is>
      </c>
      <c r="H151" s="4" t="inlineStr">
        <is>
          <t>1:06.21</t>
        </is>
      </c>
      <c r="I151" s="4" t="inlineStr">
        <is>
          <t>200m Karışık</t>
        </is>
      </c>
      <c r="J151" s="4" t="inlineStr">
        <is>
          <t>2:33.76</t>
        </is>
      </c>
      <c r="K151" s="4" t="inlineStr">
        <is>
          <t>200m Kelebek</t>
        </is>
      </c>
      <c r="L151" s="4" t="inlineStr">
        <is>
          <t>2:27.84</t>
        </is>
      </c>
      <c r="M151" s="4" t="inlineStr">
        <is>
          <t>400m Karışık</t>
        </is>
      </c>
      <c r="N151" s="4" t="inlineStr">
        <is>
          <t>5:21.48</t>
        </is>
      </c>
      <c r="P151" t="inlineStr">
        <is>
          <t>Gaziantep Şehitkamil Belediye Spor Kulübü</t>
        </is>
      </c>
      <c r="Q151" t="inlineStr">
        <is>
          <t>Gaziantep</t>
        </is>
      </c>
      <c r="R151">
        <f>Q151=B151</f>
        <v/>
      </c>
      <c r="T151">
        <f>MATCH(D151,[1]Manual!$A:$A,0)</f>
        <v/>
      </c>
    </row>
    <row r="152" ht="15.95" customHeight="1">
      <c r="A152" s="2" t="n">
        <v>151</v>
      </c>
      <c r="B152" s="2" t="inlineStr">
        <is>
          <t>Gaziantep</t>
        </is>
      </c>
      <c r="C152" s="3" t="inlineStr">
        <is>
          <t>Bayan</t>
        </is>
      </c>
      <c r="D152" s="3" t="inlineStr">
        <is>
          <t>Yağmur Kont</t>
        </is>
      </c>
      <c r="E152" s="2" t="inlineStr">
        <is>
          <t>13</t>
        </is>
      </c>
      <c r="F152" s="2" t="inlineStr">
        <is>
          <t>18416030427</t>
        </is>
      </c>
      <c r="G152" s="2" t="inlineStr">
        <is>
          <t>200m Serbest</t>
        </is>
      </c>
      <c r="H152" s="2" t="inlineStr">
        <is>
          <t>2:16.75</t>
        </is>
      </c>
      <c r="I152" s="2" t="inlineStr">
        <is>
          <t>800m Serbest</t>
        </is>
      </c>
      <c r="J152" s="2" t="inlineStr">
        <is>
          <t>9:45.04</t>
        </is>
      </c>
      <c r="K152" s="2" t="inlineStr">
        <is>
          <t>400m Serbest</t>
        </is>
      </c>
      <c r="L152" s="2" t="inlineStr">
        <is>
          <t>4:42.50</t>
        </is>
      </c>
      <c r="M152" s="2" t="inlineStr">
        <is>
          <t>1500m Serbest</t>
        </is>
      </c>
      <c r="N152" s="2" t="inlineStr">
        <is>
          <t>18:40.08</t>
        </is>
      </c>
      <c r="P152" s="14" t="inlineStr">
        <is>
          <t>Gaziantep Şehitkamil Belediye Spor Kulübü</t>
        </is>
      </c>
      <c r="Q152" t="inlineStr">
        <is>
          <t>Gaziantep</t>
        </is>
      </c>
      <c r="R152">
        <f>Q152=B152</f>
        <v/>
      </c>
      <c r="T152">
        <f>MATCH(D152,[1]Manual!$A:$A,0)</f>
        <v/>
      </c>
    </row>
    <row r="153" ht="15.95" customHeight="1">
      <c r="A153" s="4" t="n">
        <v>152</v>
      </c>
      <c r="B153" s="4" t="inlineStr">
        <is>
          <t>Gaziantep</t>
        </is>
      </c>
      <c r="C153" s="5" t="inlineStr">
        <is>
          <t>Bayan</t>
        </is>
      </c>
      <c r="D153" s="5" t="inlineStr">
        <is>
          <t>Zeynep Irmak Yalçın</t>
        </is>
      </c>
      <c r="E153" s="4" t="inlineStr">
        <is>
          <t>13</t>
        </is>
      </c>
      <c r="F153" s="4" t="inlineStr">
        <is>
          <t>24181839117</t>
        </is>
      </c>
      <c r="G153" s="4" t="inlineStr">
        <is>
          <t>100m Serbest</t>
        </is>
      </c>
      <c r="H153" s="4" t="inlineStr">
        <is>
          <t>1:06.13</t>
        </is>
      </c>
      <c r="I153" s="4" t="inlineStr">
        <is>
          <t>400m Serbest</t>
        </is>
      </c>
      <c r="J153" s="4" t="inlineStr">
        <is>
          <t>4:55.89</t>
        </is>
      </c>
      <c r="K153" s="4" t="inlineStr">
        <is>
          <t>200m Serbest</t>
        </is>
      </c>
      <c r="L153" s="4" t="inlineStr">
        <is>
          <t>2:21.85</t>
        </is>
      </c>
      <c r="M153" s="4" t="inlineStr">
        <is>
          <t>1500m Serbest</t>
        </is>
      </c>
      <c r="N153" s="4" t="inlineStr">
        <is>
          <t>19:17.65</t>
        </is>
      </c>
      <c r="P153" t="inlineStr">
        <is>
          <t>Gaziantep Şehitkamil Belediye Spor Kulübü</t>
        </is>
      </c>
      <c r="Q153" t="inlineStr">
        <is>
          <t>Gaziantep</t>
        </is>
      </c>
      <c r="R153">
        <f>Q153=B153</f>
        <v/>
      </c>
      <c r="T153">
        <f>MATCH(D153,[1]Manual!$A:$A,0)</f>
        <v/>
      </c>
    </row>
    <row r="154" ht="15.95" customHeight="1">
      <c r="A154" s="2" t="n">
        <v>153</v>
      </c>
      <c r="B154" s="2" t="inlineStr">
        <is>
          <t>Giresun</t>
        </is>
      </c>
      <c r="C154" s="3" t="inlineStr">
        <is>
          <t>Erkek</t>
        </is>
      </c>
      <c r="D154" s="3" t="inlineStr">
        <is>
          <t>Bora AĞDERE</t>
        </is>
      </c>
      <c r="E154" s="2" t="inlineStr">
        <is>
          <t>13</t>
        </is>
      </c>
      <c r="F154" s="2" t="inlineStr">
        <is>
          <t>42517252127</t>
        </is>
      </c>
      <c r="G154" s="2" t="inlineStr">
        <is>
          <t>200m Serbest</t>
        </is>
      </c>
      <c r="H154" s="2" t="inlineStr">
        <is>
          <t>2:23.11</t>
        </is>
      </c>
      <c r="I154" s="2" t="inlineStr">
        <is>
          <t>200m Kelebek</t>
        </is>
      </c>
      <c r="J154" s="2" t="inlineStr">
        <is>
          <t>2:29.26</t>
        </is>
      </c>
      <c r="K154" s="2" t="inlineStr">
        <is>
          <t>100m Kelebek</t>
        </is>
      </c>
      <c r="L154" s="2" t="inlineStr">
        <is>
          <t>1:05.57</t>
        </is>
      </c>
      <c r="M154" s="2" t="inlineStr">
        <is>
          <t>200m Karışık</t>
        </is>
      </c>
      <c r="N154" s="2" t="inlineStr">
        <is>
          <t>2:35.13</t>
        </is>
      </c>
      <c r="P154" t="inlineStr">
        <is>
          <t>Giresunalfa Spor Kulübü</t>
        </is>
      </c>
      <c r="Q154" t="inlineStr">
        <is>
          <t>Giresun</t>
        </is>
      </c>
      <c r="R154">
        <f>Q154=B154</f>
        <v/>
      </c>
      <c r="T154">
        <f>MATCH(D154,[1]Manual!$A:$A,0)</f>
        <v/>
      </c>
    </row>
    <row r="155" ht="15.95" customHeight="1">
      <c r="A155" s="4" t="n">
        <v>154</v>
      </c>
      <c r="B155" s="4" t="inlineStr">
        <is>
          <t>Giresun</t>
        </is>
      </c>
      <c r="C155" s="5" t="inlineStr">
        <is>
          <t>Bayan</t>
        </is>
      </c>
      <c r="D155" s="5" t="inlineStr">
        <is>
          <t>Efsa TORUN</t>
        </is>
      </c>
      <c r="E155" s="4" t="inlineStr">
        <is>
          <t>13</t>
        </is>
      </c>
      <c r="F155" s="4" t="inlineStr">
        <is>
          <t>29338673427</t>
        </is>
      </c>
      <c r="G155" s="4" t="inlineStr">
        <is>
          <t>200m Serbest</t>
        </is>
      </c>
      <c r="H155" s="4" t="inlineStr">
        <is>
          <t>2:23.08</t>
        </is>
      </c>
      <c r="I155" s="4" t="inlineStr">
        <is>
          <t>100m Kelebek</t>
        </is>
      </c>
      <c r="J155" s="4" t="inlineStr">
        <is>
          <t>1:11.24</t>
        </is>
      </c>
      <c r="K155" s="4" t="inlineStr">
        <is>
          <t>100m Kurbağalama</t>
        </is>
      </c>
      <c r="L155" s="4" t="inlineStr">
        <is>
          <t>1:25.05</t>
        </is>
      </c>
      <c r="M155" s="4" t="inlineStr">
        <is>
          <t>200m Karışık</t>
        </is>
      </c>
      <c r="N155" s="4" t="inlineStr">
        <is>
          <t>2:41.59</t>
        </is>
      </c>
      <c r="P155" t="inlineStr">
        <is>
          <t>Giresun Yildizlar Takimi Spor Kulübü</t>
        </is>
      </c>
      <c r="Q155" t="inlineStr">
        <is>
          <t>Giresun</t>
        </is>
      </c>
      <c r="R155">
        <f>Q155=B155</f>
        <v/>
      </c>
      <c r="T155">
        <f>MATCH(D155,[1]Manual!$A:$A,0)</f>
        <v/>
      </c>
    </row>
    <row r="156" ht="15.95" customHeight="1">
      <c r="A156" s="2" t="n">
        <v>155</v>
      </c>
      <c r="B156" s="2" t="inlineStr">
        <is>
          <t>Giresun</t>
        </is>
      </c>
      <c r="C156" s="3" t="inlineStr">
        <is>
          <t>Bayan</t>
        </is>
      </c>
      <c r="D156" s="3" t="inlineStr">
        <is>
          <t>İdil Nilay Karslı</t>
        </is>
      </c>
      <c r="E156" s="2" t="inlineStr">
        <is>
          <t>14</t>
        </is>
      </c>
      <c r="F156" s="2" t="inlineStr">
        <is>
          <t>46897106914</t>
        </is>
      </c>
      <c r="G156" s="2" t="inlineStr">
        <is>
          <t>100m Serbest</t>
        </is>
      </c>
      <c r="H156" s="2" t="inlineStr">
        <is>
          <t>1:06.58</t>
        </is>
      </c>
      <c r="I156" s="2" t="inlineStr">
        <is>
          <t>100m Kelebek</t>
        </is>
      </c>
      <c r="J156" s="2" t="inlineStr">
        <is>
          <t>1:12.45</t>
        </is>
      </c>
      <c r="K156" s="2" t="inlineStr">
        <is>
          <t>200m Serbest</t>
        </is>
      </c>
      <c r="L156" s="2" t="inlineStr">
        <is>
          <t>2:26.46</t>
        </is>
      </c>
      <c r="M156" s="2" t="inlineStr">
        <is>
          <t>200m Karışık</t>
        </is>
      </c>
      <c r="N156" s="2" t="inlineStr">
        <is>
          <t>2:40.01</t>
        </is>
      </c>
      <c r="P156" s="6" t="inlineStr">
        <is>
          <t>Giresun Şahin Spor Kulübü</t>
        </is>
      </c>
      <c r="Q156" s="6" t="inlineStr">
        <is>
          <t>Giresun</t>
        </is>
      </c>
      <c r="R156">
        <f>Q156=B156</f>
        <v/>
      </c>
      <c r="T156">
        <f>MATCH(D156,[1]Manual!$A:$A,0)</f>
        <v/>
      </c>
    </row>
    <row r="157" ht="15.95" customHeight="1">
      <c r="A157" s="4" t="n">
        <v>156</v>
      </c>
      <c r="B157" s="4" t="inlineStr">
        <is>
          <t>İstanbul</t>
        </is>
      </c>
      <c r="C157" s="5" t="inlineStr">
        <is>
          <t>Erkek</t>
        </is>
      </c>
      <c r="D157" s="5" t="inlineStr">
        <is>
          <t>Ali Ege KÜTAHYA</t>
        </is>
      </c>
      <c r="E157" s="4" t="inlineStr">
        <is>
          <t>12</t>
        </is>
      </c>
      <c r="F157" s="4" t="inlineStr">
        <is>
          <t>27908624428</t>
        </is>
      </c>
      <c r="G157" s="4" t="inlineStr">
        <is>
          <t>200m Serbest</t>
        </is>
      </c>
      <c r="H157" s="4" t="inlineStr">
        <is>
          <t>2:08.65</t>
        </is>
      </c>
      <c r="I157" s="4" t="inlineStr">
        <is>
          <t>800m Serbest</t>
        </is>
      </c>
      <c r="J157" s="4" t="inlineStr">
        <is>
          <t>9:22.46</t>
        </is>
      </c>
      <c r="K157" s="4" t="inlineStr">
        <is>
          <t>400m Serbest</t>
        </is>
      </c>
      <c r="L157" s="4" t="inlineStr">
        <is>
          <t>4:34.04</t>
        </is>
      </c>
      <c r="M157" s="4" t="inlineStr">
        <is>
          <t>200m Kelebek</t>
        </is>
      </c>
      <c r="N157" s="4" t="inlineStr">
        <is>
          <t>2:24.00</t>
        </is>
      </c>
      <c r="P157" t="inlineStr">
        <is>
          <t>Fenerbahçe Spor Kulübü</t>
        </is>
      </c>
      <c r="Q157" t="inlineStr">
        <is>
          <t>İstanbul</t>
        </is>
      </c>
      <c r="R157">
        <f>Q157=B157</f>
        <v/>
      </c>
      <c r="T157">
        <f>MATCH(D157,[1]Manual!$A:$A,0)</f>
        <v/>
      </c>
    </row>
    <row r="158" ht="15.95" customHeight="1">
      <c r="A158" s="2" t="n">
        <v>157</v>
      </c>
      <c r="B158" s="2" t="inlineStr">
        <is>
          <t>İstanbul</t>
        </is>
      </c>
      <c r="C158" s="3" t="inlineStr">
        <is>
          <t>Erkek</t>
        </is>
      </c>
      <c r="D158" s="3" t="inlineStr">
        <is>
          <t>Ali Mete KOÇAK</t>
        </is>
      </c>
      <c r="E158" s="2" t="inlineStr">
        <is>
          <t>11</t>
        </is>
      </c>
      <c r="F158" s="2" t="inlineStr">
        <is>
          <t>17629094614</t>
        </is>
      </c>
      <c r="G158" s="2" t="inlineStr">
        <is>
          <t>100m Serbest</t>
        </is>
      </c>
      <c r="H158" s="2" t="inlineStr">
        <is>
          <t>55.34</t>
        </is>
      </c>
      <c r="I158" s="2" t="inlineStr">
        <is>
          <t>100m Sırtüstü</t>
        </is>
      </c>
      <c r="J158" s="2" t="inlineStr">
        <is>
          <t>1:01.76</t>
        </is>
      </c>
      <c r="K158" s="2" t="inlineStr">
        <is>
          <t>50m Sırtüstü</t>
        </is>
      </c>
      <c r="L158" s="2" t="inlineStr">
        <is>
          <t>28.40</t>
        </is>
      </c>
      <c r="M158" s="2" t="inlineStr">
        <is>
          <t>50m Kelebek</t>
        </is>
      </c>
      <c r="N158" s="2" t="inlineStr">
        <is>
          <t>26.75</t>
        </is>
      </c>
      <c r="P158" t="inlineStr">
        <is>
          <t>Galatasaray Spor Kulübü</t>
        </is>
      </c>
      <c r="Q158" t="inlineStr">
        <is>
          <t>İstanbul</t>
        </is>
      </c>
      <c r="R158">
        <f>Q158=B158</f>
        <v/>
      </c>
      <c r="T158">
        <f>MATCH(D158,[1]Manual!$A:$A,0)</f>
        <v/>
      </c>
    </row>
    <row r="159" ht="15.95" customHeight="1">
      <c r="A159" s="4" t="n">
        <v>158</v>
      </c>
      <c r="B159" s="4" t="inlineStr">
        <is>
          <t>İstanbul</t>
        </is>
      </c>
      <c r="C159" s="5" t="inlineStr">
        <is>
          <t>Erkek</t>
        </is>
      </c>
      <c r="D159" s="5" t="inlineStr">
        <is>
          <t>Ateş DURMAZ</t>
        </is>
      </c>
      <c r="E159" s="4" t="inlineStr">
        <is>
          <t>10</t>
        </is>
      </c>
      <c r="F159" s="4" t="inlineStr">
        <is>
          <t>34492757653</t>
        </is>
      </c>
      <c r="G159" s="4" t="inlineStr">
        <is>
          <t>50m Serbest</t>
        </is>
      </c>
      <c r="H159" s="4" t="inlineStr">
        <is>
          <t>25.02</t>
        </is>
      </c>
      <c r="I159" s="4" t="inlineStr">
        <is>
          <t>200m Serbest</t>
        </is>
      </c>
      <c r="J159" s="4" t="inlineStr">
        <is>
          <t>1:59.46</t>
        </is>
      </c>
      <c r="K159" s="4" t="inlineStr">
        <is>
          <t>100m Serbest</t>
        </is>
      </c>
      <c r="L159" s="4" t="inlineStr">
        <is>
          <t>54.75</t>
        </is>
      </c>
      <c r="M159" s="4" t="inlineStr">
        <is>
          <t>50m Kelebek</t>
        </is>
      </c>
      <c r="N159" s="4" t="inlineStr">
        <is>
          <t>27.15</t>
        </is>
      </c>
      <c r="P159" s="6" t="inlineStr">
        <is>
          <t>Galatasaray Spor Kulübü</t>
        </is>
      </c>
      <c r="Q159" s="6" t="inlineStr">
        <is>
          <t>İstanbul</t>
        </is>
      </c>
      <c r="R159">
        <f>Q159=B159</f>
        <v/>
      </c>
      <c r="T159">
        <f>MATCH(D159,[1]Manual!$A:$A,0)</f>
        <v/>
      </c>
    </row>
    <row r="160" ht="15.95" customHeight="1">
      <c r="A160" s="2" t="n">
        <v>159</v>
      </c>
      <c r="B160" s="2" t="inlineStr">
        <is>
          <t>İstanbul</t>
        </is>
      </c>
      <c r="C160" s="3" t="inlineStr">
        <is>
          <t>Erkek</t>
        </is>
      </c>
      <c r="D160" s="3" t="inlineStr">
        <is>
          <t>Berhan ILİŞİK</t>
        </is>
      </c>
      <c r="E160" s="2" t="inlineStr">
        <is>
          <t>10</t>
        </is>
      </c>
      <c r="F160" s="2" t="inlineStr">
        <is>
          <t>26716167828</t>
        </is>
      </c>
      <c r="G160" s="2" t="inlineStr">
        <is>
          <t>200m Serbest</t>
        </is>
      </c>
      <c r="H160" s="2" t="inlineStr">
        <is>
          <t>1:58.12</t>
        </is>
      </c>
      <c r="I160" s="2" t="inlineStr">
        <is>
          <t>800m Serbest</t>
        </is>
      </c>
      <c r="J160" s="2" t="inlineStr">
        <is>
          <t>8:19.05</t>
        </is>
      </c>
      <c r="K160" s="2" t="inlineStr">
        <is>
          <t>400m Serbest</t>
        </is>
      </c>
      <c r="L160" s="2" t="inlineStr">
        <is>
          <t>4:05.05</t>
        </is>
      </c>
      <c r="M160" s="2" t="inlineStr">
        <is>
          <t>1500m Serbest</t>
        </is>
      </c>
      <c r="N160" s="2" t="inlineStr">
        <is>
          <t>15:51.63</t>
        </is>
      </c>
      <c r="P160" s="6" t="inlineStr">
        <is>
          <t>Galatasaray Spor Kulübü</t>
        </is>
      </c>
      <c r="Q160" s="6" t="inlineStr">
        <is>
          <t>İstanbul</t>
        </is>
      </c>
      <c r="R160">
        <f>Q160=B160</f>
        <v/>
      </c>
      <c r="T160">
        <f>MATCH(D160,[1]Manual!$A:$A,0)</f>
        <v/>
      </c>
    </row>
    <row r="161" ht="15.95" customHeight="1">
      <c r="A161" s="4" t="n">
        <v>160</v>
      </c>
      <c r="B161" s="4" t="inlineStr">
        <is>
          <t>İstanbul</t>
        </is>
      </c>
      <c r="C161" s="5" t="inlineStr">
        <is>
          <t>Erkek</t>
        </is>
      </c>
      <c r="D161" s="5" t="inlineStr">
        <is>
          <t>Berkin AVCI</t>
        </is>
      </c>
      <c r="E161" s="4" t="inlineStr">
        <is>
          <t>09</t>
        </is>
      </c>
      <c r="F161" s="4" t="inlineStr">
        <is>
          <t>50005340152</t>
        </is>
      </c>
      <c r="G161" s="4" t="inlineStr">
        <is>
          <t>50m Serbest</t>
        </is>
      </c>
      <c r="H161" s="4" t="inlineStr">
        <is>
          <t>25.99</t>
        </is>
      </c>
      <c r="I161" s="4" t="inlineStr">
        <is>
          <t>200m Serbest</t>
        </is>
      </c>
      <c r="J161" s="4" t="inlineStr">
        <is>
          <t>1:57.11</t>
        </is>
      </c>
      <c r="K161" s="4" t="inlineStr">
        <is>
          <t>100m Serbest</t>
        </is>
      </c>
      <c r="L161" s="4" t="inlineStr">
        <is>
          <t>56.82</t>
        </is>
      </c>
      <c r="M161" s="4" t="inlineStr">
        <is>
          <t>400m Serbest</t>
        </is>
      </c>
      <c r="N161" s="4" t="inlineStr">
        <is>
          <t>4:03.18</t>
        </is>
      </c>
      <c r="P161" s="6" t="inlineStr">
        <is>
          <t>Enka Spor Kulübü</t>
        </is>
      </c>
      <c r="Q161" s="6" t="inlineStr">
        <is>
          <t>İstanbul</t>
        </is>
      </c>
      <c r="R161">
        <f>Q161=B161</f>
        <v/>
      </c>
      <c r="T161">
        <f>MATCH(D161,[1]Manual!$A:$A,0)</f>
        <v/>
      </c>
    </row>
    <row r="162" ht="15.95" customHeight="1">
      <c r="A162" s="2" t="n">
        <v>161</v>
      </c>
      <c r="B162" s="2" t="inlineStr">
        <is>
          <t>İstanbul</t>
        </is>
      </c>
      <c r="C162" s="3" t="inlineStr">
        <is>
          <t>Erkek</t>
        </is>
      </c>
      <c r="D162" s="3" t="inlineStr">
        <is>
          <t>Cem Berkay YARAY</t>
        </is>
      </c>
      <c r="E162" s="2" t="inlineStr">
        <is>
          <t>11</t>
        </is>
      </c>
      <c r="F162" s="2" t="inlineStr">
        <is>
          <t>19088913459</t>
        </is>
      </c>
      <c r="G162" s="2" t="inlineStr">
        <is>
          <t>50m Serbest</t>
        </is>
      </c>
      <c r="H162" s="2" t="inlineStr">
        <is>
          <t>25.41</t>
        </is>
      </c>
      <c r="I162" s="2" t="inlineStr">
        <is>
          <t>200m Serbest</t>
        </is>
      </c>
      <c r="J162" s="2" t="inlineStr">
        <is>
          <t>1:58.99</t>
        </is>
      </c>
      <c r="K162" s="2" t="inlineStr">
        <is>
          <t>100m Serbest</t>
        </is>
      </c>
      <c r="L162" s="2" t="inlineStr">
        <is>
          <t>54.67</t>
        </is>
      </c>
      <c r="M162" s="2" t="inlineStr">
        <is>
          <t>50m Sırtüstü</t>
        </is>
      </c>
      <c r="N162" s="2" t="inlineStr">
        <is>
          <t>29.81</t>
        </is>
      </c>
      <c r="P162" t="inlineStr">
        <is>
          <t>Enka Spor Kulübü</t>
        </is>
      </c>
      <c r="Q162" t="inlineStr">
        <is>
          <t>İstanbul</t>
        </is>
      </c>
      <c r="R162">
        <f>Q162=B162</f>
        <v/>
      </c>
      <c r="T162">
        <f>MATCH(D162,[1]Manual!$A:$A,0)</f>
        <v/>
      </c>
    </row>
    <row r="163" ht="15.95" customHeight="1">
      <c r="A163" s="4" t="n">
        <v>162</v>
      </c>
      <c r="B163" s="4" t="inlineStr">
        <is>
          <t>İstanbul</t>
        </is>
      </c>
      <c r="C163" s="5" t="inlineStr">
        <is>
          <t>Erkek</t>
        </is>
      </c>
      <c r="D163" s="5" t="inlineStr">
        <is>
          <t>Civan VURAL</t>
        </is>
      </c>
      <c r="E163" s="4" t="inlineStr">
        <is>
          <t>10</t>
        </is>
      </c>
      <c r="F163" s="4" t="inlineStr">
        <is>
          <t>20153277629</t>
        </is>
      </c>
      <c r="G163" s="4" t="inlineStr">
        <is>
          <t>200m Sırtüstü</t>
        </is>
      </c>
      <c r="H163" s="4" t="inlineStr">
        <is>
          <t>2:24.85</t>
        </is>
      </c>
      <c r="I163" s="4" t="inlineStr">
        <is>
          <t>200m Karışık</t>
        </is>
      </c>
      <c r="J163" s="4" t="inlineStr">
        <is>
          <t>2:13.17</t>
        </is>
      </c>
      <c r="K163" s="4" t="inlineStr">
        <is>
          <t>200m Kelebek</t>
        </is>
      </c>
      <c r="L163" s="4" t="inlineStr">
        <is>
          <t>2:09.84</t>
        </is>
      </c>
      <c r="M163" s="4" t="inlineStr">
        <is>
          <t>400m Karışık</t>
        </is>
      </c>
      <c r="N163" s="4" t="inlineStr">
        <is>
          <t>4:41.29</t>
        </is>
      </c>
      <c r="P163" s="6" t="inlineStr">
        <is>
          <t>Enka Spor Kulübü</t>
        </is>
      </c>
      <c r="Q163" s="6" t="inlineStr">
        <is>
          <t>İstanbul</t>
        </is>
      </c>
      <c r="R163">
        <f>Q163=B163</f>
        <v/>
      </c>
      <c r="T163">
        <f>MATCH(D163,[1]Manual!$A:$A,0)</f>
        <v/>
      </c>
    </row>
    <row r="164" ht="15.95" customHeight="1">
      <c r="A164" s="2" t="n">
        <v>163</v>
      </c>
      <c r="B164" s="2" t="inlineStr">
        <is>
          <t>İstanbul</t>
        </is>
      </c>
      <c r="C164" s="3" t="inlineStr">
        <is>
          <t>Erkek</t>
        </is>
      </c>
      <c r="D164" s="3" t="inlineStr">
        <is>
          <t>Deniz Baray TOZ</t>
        </is>
      </c>
      <c r="E164" s="2" t="inlineStr">
        <is>
          <t>12</t>
        </is>
      </c>
      <c r="F164" s="2" t="inlineStr">
        <is>
          <t>22708362753</t>
        </is>
      </c>
      <c r="G164" s="2" t="inlineStr">
        <is>
          <t>50m Kelebek</t>
        </is>
      </c>
      <c r="H164" s="2" t="inlineStr">
        <is>
          <t>27.82</t>
        </is>
      </c>
      <c r="I164" s="2" t="inlineStr">
        <is>
          <t>200m Kelebek</t>
        </is>
      </c>
      <c r="J164" s="2" t="inlineStr">
        <is>
          <t>2:10.58</t>
        </is>
      </c>
      <c r="K164" s="2" t="inlineStr">
        <is>
          <t>100m Kelebek</t>
        </is>
      </c>
      <c r="L164" s="2" t="inlineStr">
        <is>
          <t>1:00.03</t>
        </is>
      </c>
      <c r="M164" s="2" t="inlineStr">
        <is>
          <t>400m Karışık</t>
        </is>
      </c>
      <c r="N164" s="2" t="inlineStr">
        <is>
          <t>5:03.83</t>
        </is>
      </c>
      <c r="P164" t="inlineStr">
        <is>
          <t>Enka Spor Kulübü</t>
        </is>
      </c>
      <c r="Q164" t="inlineStr">
        <is>
          <t>İstanbul</t>
        </is>
      </c>
      <c r="R164">
        <f>Q164=B164</f>
        <v/>
      </c>
      <c r="T164">
        <f>MATCH(D164,[1]Manual!$A:$A,0)</f>
        <v/>
      </c>
    </row>
    <row r="165" ht="15.95" customHeight="1">
      <c r="A165" s="4" t="n">
        <v>164</v>
      </c>
      <c r="B165" s="4" t="inlineStr">
        <is>
          <t>İstanbul</t>
        </is>
      </c>
      <c r="C165" s="5" t="inlineStr">
        <is>
          <t>Erkek</t>
        </is>
      </c>
      <c r="D165" s="5" t="inlineStr">
        <is>
          <t>Eray BÜYÜKKORKMAZ</t>
        </is>
      </c>
      <c r="E165" s="4" t="inlineStr">
        <is>
          <t>12</t>
        </is>
      </c>
      <c r="F165" s="4" t="inlineStr">
        <is>
          <t>25015783524</t>
        </is>
      </c>
      <c r="G165" s="4" t="inlineStr">
        <is>
          <t>200m Serbest</t>
        </is>
      </c>
      <c r="H165" s="4" t="inlineStr">
        <is>
          <t>2:03.44</t>
        </is>
      </c>
      <c r="I165" s="4" t="inlineStr">
        <is>
          <t>800m Serbest</t>
        </is>
      </c>
      <c r="J165" s="4" t="inlineStr">
        <is>
          <t>8:53.36</t>
        </is>
      </c>
      <c r="K165" s="4" t="inlineStr">
        <is>
          <t>400m Serbest</t>
        </is>
      </c>
      <c r="L165" s="4" t="inlineStr">
        <is>
          <t>4:19.07</t>
        </is>
      </c>
      <c r="M165" s="4" t="inlineStr">
        <is>
          <t>1500m Serbest</t>
        </is>
      </c>
      <c r="N165" s="4" t="inlineStr">
        <is>
          <t>17:01.28</t>
        </is>
      </c>
      <c r="P165" t="inlineStr">
        <is>
          <t>Enka Spor Kulübü</t>
        </is>
      </c>
      <c r="Q165" t="inlineStr">
        <is>
          <t>İstanbul</t>
        </is>
      </c>
      <c r="R165">
        <f>Q165=B165</f>
        <v/>
      </c>
      <c r="T165">
        <f>MATCH(D165,[1]Manual!$A:$A,0)</f>
        <v/>
      </c>
    </row>
    <row r="166" ht="15.95" customHeight="1">
      <c r="A166" s="2" t="n">
        <v>165</v>
      </c>
      <c r="B166" s="2" t="inlineStr">
        <is>
          <t>İstanbul</t>
        </is>
      </c>
      <c r="C166" s="3" t="inlineStr">
        <is>
          <t>Erkek</t>
        </is>
      </c>
      <c r="D166" s="3" t="inlineStr">
        <is>
          <t>Erol Kaan ÖZCAN</t>
        </is>
      </c>
      <c r="E166" s="2" t="inlineStr">
        <is>
          <t>11</t>
        </is>
      </c>
      <c r="F166" s="2" t="inlineStr">
        <is>
          <t>60196011212</t>
        </is>
      </c>
      <c r="G166" s="2" t="inlineStr">
        <is>
          <t>100m Serbest</t>
        </is>
      </c>
      <c r="H166" s="2" t="inlineStr">
        <is>
          <t>55.49</t>
        </is>
      </c>
      <c r="I166" s="2" t="inlineStr">
        <is>
          <t>50m Kurbağalama</t>
        </is>
      </c>
      <c r="J166" s="2" t="inlineStr">
        <is>
          <t>31.72</t>
        </is>
      </c>
      <c r="K166" s="2" t="inlineStr">
        <is>
          <t>200m Serbest</t>
        </is>
      </c>
      <c r="L166" s="2" t="inlineStr">
        <is>
          <t>2:00.04</t>
        </is>
      </c>
      <c r="M166" s="2" t="inlineStr">
        <is>
          <t>50m Kelebek</t>
        </is>
      </c>
      <c r="N166" s="2" t="inlineStr">
        <is>
          <t>27.64</t>
        </is>
      </c>
      <c r="P166" t="inlineStr">
        <is>
          <t>Enka Spor Kulübü</t>
        </is>
      </c>
      <c r="Q166" t="inlineStr">
        <is>
          <t>İstanbul</t>
        </is>
      </c>
      <c r="R166">
        <f>Q166=B166</f>
        <v/>
      </c>
      <c r="T166">
        <f>MATCH(D166,[1]Manual!$A:$A,0)</f>
        <v/>
      </c>
    </row>
    <row r="167" ht="15.95" customHeight="1">
      <c r="A167" s="4" t="n">
        <v>166</v>
      </c>
      <c r="B167" s="4" t="inlineStr">
        <is>
          <t>İstanbul</t>
        </is>
      </c>
      <c r="C167" s="5" t="inlineStr">
        <is>
          <t>Erkek</t>
        </is>
      </c>
      <c r="D167" s="5" t="inlineStr">
        <is>
          <t>Eymen Batu IBOLAR</t>
        </is>
      </c>
      <c r="E167" s="4" t="inlineStr">
        <is>
          <t>10</t>
        </is>
      </c>
      <c r="F167" s="4" t="inlineStr">
        <is>
          <t>38410531657</t>
        </is>
      </c>
      <c r="G167" s="4" t="inlineStr">
        <is>
          <t>50m Serbest</t>
        </is>
      </c>
      <c r="H167" s="4" t="inlineStr">
        <is>
          <t>23.66</t>
        </is>
      </c>
      <c r="I167" s="4" t="inlineStr">
        <is>
          <t>100m Serbest</t>
        </is>
      </c>
      <c r="J167" s="4" t="inlineStr">
        <is>
          <t>51.96</t>
        </is>
      </c>
      <c r="K167" s="4" t="n"/>
      <c r="L167" s="4" t="inlineStr">
        <is>
          <t>NT</t>
        </is>
      </c>
      <c r="M167" s="4" t="n"/>
      <c r="N167" s="4" t="inlineStr">
        <is>
          <t>NT</t>
        </is>
      </c>
      <c r="P167" s="6" t="inlineStr">
        <is>
          <t>Galatasaray Spor Kulübü</t>
        </is>
      </c>
      <c r="Q167" s="6" t="inlineStr">
        <is>
          <t>İstanbul</t>
        </is>
      </c>
      <c r="R167">
        <f>Q167=B167</f>
        <v/>
      </c>
      <c r="T167">
        <f>MATCH(D167,[1]Manual!$A:$A,0)</f>
        <v/>
      </c>
    </row>
    <row r="168" ht="15.95" customHeight="1">
      <c r="A168" s="2" t="n">
        <v>167</v>
      </c>
      <c r="B168" s="2" t="inlineStr">
        <is>
          <t>İstanbul</t>
        </is>
      </c>
      <c r="C168" s="3" t="inlineStr">
        <is>
          <t>Erkek</t>
        </is>
      </c>
      <c r="D168" s="3" t="inlineStr">
        <is>
          <t>Hüseyin BIDI</t>
        </is>
      </c>
      <c r="E168" s="2" t="inlineStr">
        <is>
          <t>10</t>
        </is>
      </c>
      <c r="F168" s="2" t="inlineStr">
        <is>
          <t>32075480651</t>
        </is>
      </c>
      <c r="G168" s="2" t="inlineStr">
        <is>
          <t>50m Sırtüstü</t>
        </is>
      </c>
      <c r="H168" s="2" t="inlineStr">
        <is>
          <t>28.37</t>
        </is>
      </c>
      <c r="I168" s="2" t="inlineStr">
        <is>
          <t>200m Karışık</t>
        </is>
      </c>
      <c r="J168" s="2" t="inlineStr">
        <is>
          <t>2:13.48</t>
        </is>
      </c>
      <c r="K168" s="2" t="inlineStr">
        <is>
          <t>200m Sırtüstü</t>
        </is>
      </c>
      <c r="L168" s="2" t="inlineStr">
        <is>
          <t>2:13.04</t>
        </is>
      </c>
      <c r="M168" s="2" t="inlineStr">
        <is>
          <t>400m Karışık</t>
        </is>
      </c>
      <c r="N168" s="2" t="inlineStr">
        <is>
          <t>4:40.49</t>
        </is>
      </c>
      <c r="P168" s="6" t="inlineStr">
        <is>
          <t>Galatasaray Spor Kulübü</t>
        </is>
      </c>
      <c r="Q168" s="6" t="inlineStr">
        <is>
          <t>İstanbul</t>
        </is>
      </c>
      <c r="R168">
        <f>Q168=B168</f>
        <v/>
      </c>
      <c r="T168">
        <f>MATCH(D168,[1]Manual!$A:$A,0)</f>
        <v/>
      </c>
    </row>
    <row r="169" ht="15.95" customHeight="1">
      <c r="A169" s="4" t="n">
        <v>168</v>
      </c>
      <c r="B169" s="4" t="inlineStr">
        <is>
          <t>İstanbul</t>
        </is>
      </c>
      <c r="C169" s="5" t="inlineStr">
        <is>
          <t>Erkek</t>
        </is>
      </c>
      <c r="D169" s="5" t="inlineStr">
        <is>
          <t>Ismail Esad SÜSLÜ</t>
        </is>
      </c>
      <c r="E169" s="4" t="inlineStr">
        <is>
          <t>10</t>
        </is>
      </c>
      <c r="F169" s="4" t="inlineStr">
        <is>
          <t>41011536257</t>
        </is>
      </c>
      <c r="G169" s="4" t="inlineStr">
        <is>
          <t>50m Kurbağalama</t>
        </is>
      </c>
      <c r="H169" s="4" t="inlineStr">
        <is>
          <t>30.34</t>
        </is>
      </c>
      <c r="I169" s="4" t="inlineStr">
        <is>
          <t>100m Kelebek</t>
        </is>
      </c>
      <c r="J169" s="4" t="inlineStr">
        <is>
          <t>58.47</t>
        </is>
      </c>
      <c r="K169" s="4" t="inlineStr">
        <is>
          <t>100m Kurbağalama</t>
        </is>
      </c>
      <c r="L169" s="4" t="inlineStr">
        <is>
          <t>1:08.24</t>
        </is>
      </c>
      <c r="M169" s="4" t="n"/>
      <c r="N169" s="4" t="inlineStr">
        <is>
          <t>NT</t>
        </is>
      </c>
      <c r="P169" s="6" t="inlineStr">
        <is>
          <t>Fenerbahçe Spor Kulübü</t>
        </is>
      </c>
      <c r="Q169" s="6" t="inlineStr">
        <is>
          <t>İstanbul</t>
        </is>
      </c>
      <c r="R169">
        <f>Q169=B169</f>
        <v/>
      </c>
      <c r="T169">
        <f>MATCH(D169,[1]Manual!$A:$A,0)</f>
        <v/>
      </c>
    </row>
    <row r="170" ht="15.95" customHeight="1">
      <c r="A170" s="2" t="n">
        <v>169</v>
      </c>
      <c r="B170" s="2" t="inlineStr">
        <is>
          <t>İstanbul</t>
        </is>
      </c>
      <c r="C170" s="3" t="inlineStr">
        <is>
          <t>Erkek</t>
        </is>
      </c>
      <c r="D170" s="3" t="inlineStr">
        <is>
          <t>Kaan Güngör ÖZDİL</t>
        </is>
      </c>
      <c r="E170" s="2" t="inlineStr">
        <is>
          <t>10</t>
        </is>
      </c>
      <c r="F170" s="2" t="inlineStr">
        <is>
          <t>17180175450</t>
        </is>
      </c>
      <c r="G170" s="2" t="inlineStr">
        <is>
          <t>50m Kurbağalama</t>
        </is>
      </c>
      <c r="H170" s="2" t="inlineStr">
        <is>
          <t>29.90</t>
        </is>
      </c>
      <c r="I170" s="2" t="inlineStr">
        <is>
          <t>200m Karışık</t>
        </is>
      </c>
      <c r="J170" s="2" t="inlineStr">
        <is>
          <t>2:08.65</t>
        </is>
      </c>
      <c r="K170" s="2" t="inlineStr">
        <is>
          <t>100m Kurbağalama</t>
        </is>
      </c>
      <c r="L170" s="2" t="inlineStr">
        <is>
          <t>1:05.86</t>
        </is>
      </c>
      <c r="M170" s="2" t="inlineStr">
        <is>
          <t>400m Karışık</t>
        </is>
      </c>
      <c r="N170" s="2" t="inlineStr">
        <is>
          <t>4:38.51</t>
        </is>
      </c>
      <c r="P170" s="6" t="inlineStr">
        <is>
          <t>Enka Spor Kulübü</t>
        </is>
      </c>
      <c r="Q170" s="6" t="inlineStr">
        <is>
          <t>İstanbul</t>
        </is>
      </c>
      <c r="R170">
        <f>Q170=B170</f>
        <v/>
      </c>
      <c r="T170">
        <f>MATCH(D170,[1]Manual!$A:$A,0)</f>
        <v/>
      </c>
    </row>
    <row r="171" ht="15.95" customHeight="1">
      <c r="A171" s="4" t="n">
        <v>170</v>
      </c>
      <c r="B171" s="4" t="inlineStr">
        <is>
          <t>İstanbul</t>
        </is>
      </c>
      <c r="C171" s="5" t="inlineStr">
        <is>
          <t>Erkek</t>
        </is>
      </c>
      <c r="D171" s="5" t="inlineStr">
        <is>
          <t>Kadir YAYLA</t>
        </is>
      </c>
      <c r="E171" s="4" t="inlineStr">
        <is>
          <t>11</t>
        </is>
      </c>
      <c r="F171" s="4" t="inlineStr">
        <is>
          <t>36941080358</t>
        </is>
      </c>
      <c r="G171" s="4" t="inlineStr">
        <is>
          <t>50m Kurbağalama</t>
        </is>
      </c>
      <c r="H171" s="4" t="inlineStr">
        <is>
          <t>32.26</t>
        </is>
      </c>
      <c r="I171" s="4" t="inlineStr">
        <is>
          <t>200m Kurbağalama</t>
        </is>
      </c>
      <c r="J171" s="4" t="inlineStr">
        <is>
          <t>2:32.37</t>
        </is>
      </c>
      <c r="K171" s="4" t="inlineStr">
        <is>
          <t>100m Kurbağalama</t>
        </is>
      </c>
      <c r="L171" s="4" t="inlineStr">
        <is>
          <t>1:10.06</t>
        </is>
      </c>
      <c r="M171" s="4" t="inlineStr">
        <is>
          <t>200m Karışık</t>
        </is>
      </c>
      <c r="N171" s="4" t="inlineStr">
        <is>
          <t>2:27.22</t>
        </is>
      </c>
      <c r="P171" t="inlineStr">
        <is>
          <t>Galatasaray Spor Kulübü</t>
        </is>
      </c>
      <c r="Q171" t="inlineStr">
        <is>
          <t>İstanbul</t>
        </is>
      </c>
      <c r="R171">
        <f>Q171=B171</f>
        <v/>
      </c>
      <c r="T171">
        <f>MATCH(D171,[1]Manual!$A:$A,0)</f>
        <v/>
      </c>
    </row>
    <row r="172" ht="15.95" customHeight="1">
      <c r="A172" s="2" t="n">
        <v>171</v>
      </c>
      <c r="B172" s="2" t="inlineStr">
        <is>
          <t>İstanbul</t>
        </is>
      </c>
      <c r="C172" s="3" t="inlineStr">
        <is>
          <t>Erkek</t>
        </is>
      </c>
      <c r="D172" s="3" t="inlineStr">
        <is>
          <t>Kerem BALIK</t>
        </is>
      </c>
      <c r="E172" s="2" t="inlineStr">
        <is>
          <t>13</t>
        </is>
      </c>
      <c r="F172" s="2" t="inlineStr">
        <is>
          <t>66250349118</t>
        </is>
      </c>
      <c r="G172" s="2" t="inlineStr">
        <is>
          <t>100m Sırtüstü</t>
        </is>
      </c>
      <c r="H172" s="2" t="inlineStr">
        <is>
          <t>01:06.36</t>
        </is>
      </c>
      <c r="I172" s="2" t="inlineStr">
        <is>
          <t>100m Kelebek</t>
        </is>
      </c>
      <c r="J172" s="2" t="inlineStr">
        <is>
          <t>1:05.75</t>
        </is>
      </c>
      <c r="K172" s="2" t="inlineStr">
        <is>
          <t>200m Sırtüstü</t>
        </is>
      </c>
      <c r="L172" s="2" t="inlineStr">
        <is>
          <t>02:22.61</t>
        </is>
      </c>
      <c r="M172" s="2" t="inlineStr">
        <is>
          <t>200m Karışık</t>
        </is>
      </c>
      <c r="N172" s="2" t="inlineStr">
        <is>
          <t>2:27.11</t>
        </is>
      </c>
      <c r="P172" t="inlineStr">
        <is>
          <t>Enka Spor Kulübü</t>
        </is>
      </c>
      <c r="Q172" t="inlineStr">
        <is>
          <t>İstanbul</t>
        </is>
      </c>
      <c r="R172">
        <f>Q172=B172</f>
        <v/>
      </c>
      <c r="T172">
        <f>MATCH(D172,[1]Manual!$A:$A,0)</f>
        <v/>
      </c>
    </row>
    <row r="173" ht="15.95" customHeight="1">
      <c r="A173" s="4" t="n">
        <v>172</v>
      </c>
      <c r="B173" s="4" t="inlineStr">
        <is>
          <t>İstanbul</t>
        </is>
      </c>
      <c r="C173" s="5" t="inlineStr">
        <is>
          <t>Erkek</t>
        </is>
      </c>
      <c r="D173" s="5" t="inlineStr">
        <is>
          <t>Kerem BAYAR</t>
        </is>
      </c>
      <c r="E173" s="4" t="inlineStr">
        <is>
          <t>10</t>
        </is>
      </c>
      <c r="F173" s="4" t="inlineStr">
        <is>
          <t>25906163925</t>
        </is>
      </c>
      <c r="G173" s="4" t="inlineStr">
        <is>
          <t>200m Serbest</t>
        </is>
      </c>
      <c r="H173" s="4" t="inlineStr">
        <is>
          <t>1:59.40</t>
        </is>
      </c>
      <c r="I173" s="4" t="inlineStr">
        <is>
          <t>800m Serbest</t>
        </is>
      </c>
      <c r="J173" s="4" t="inlineStr">
        <is>
          <t>8:40.37</t>
        </is>
      </c>
      <c r="K173" s="4" t="inlineStr">
        <is>
          <t>400m Serbest</t>
        </is>
      </c>
      <c r="L173" s="4" t="inlineStr">
        <is>
          <t>4:13.96</t>
        </is>
      </c>
      <c r="M173" s="4" t="inlineStr">
        <is>
          <t>1500m Serbest</t>
        </is>
      </c>
      <c r="N173" s="4" t="inlineStr">
        <is>
          <t>16:35.63</t>
        </is>
      </c>
      <c r="P173" s="6" t="inlineStr">
        <is>
          <t>Galatasaray Spor Kulübü</t>
        </is>
      </c>
      <c r="Q173" s="6" t="inlineStr">
        <is>
          <t>İstanbul</t>
        </is>
      </c>
      <c r="R173">
        <f>Q173=B173</f>
        <v/>
      </c>
      <c r="T173">
        <f>MATCH(D173,[1]Manual!$A:$A,0)</f>
        <v/>
      </c>
    </row>
    <row r="174" ht="15.95" customHeight="1">
      <c r="A174" s="2" t="n">
        <v>173</v>
      </c>
      <c r="B174" s="2" t="inlineStr">
        <is>
          <t>İstanbul</t>
        </is>
      </c>
      <c r="C174" s="3" t="inlineStr">
        <is>
          <t>Erkek</t>
        </is>
      </c>
      <c r="D174" s="3" t="inlineStr">
        <is>
          <t>Kerem Burak GÜRBÜZ</t>
        </is>
      </c>
      <c r="E174" s="2" t="inlineStr">
        <is>
          <t>13</t>
        </is>
      </c>
      <c r="F174" s="2" t="inlineStr">
        <is>
          <t>27692631824</t>
        </is>
      </c>
      <c r="G174" s="2" t="inlineStr">
        <is>
          <t>200m Kurbağalama</t>
        </is>
      </c>
      <c r="H174" s="2" t="inlineStr">
        <is>
          <t>3:02.02</t>
        </is>
      </c>
      <c r="I174" s="2" t="inlineStr">
        <is>
          <t>200m Karışık</t>
        </is>
      </c>
      <c r="J174" s="2" t="inlineStr">
        <is>
          <t>2:31.82</t>
        </is>
      </c>
      <c r="K174" s="2" t="inlineStr">
        <is>
          <t>100m Kelebek</t>
        </is>
      </c>
      <c r="L174" s="2" t="inlineStr">
        <is>
          <t>1:10.28</t>
        </is>
      </c>
      <c r="M174" s="2" t="inlineStr">
        <is>
          <t>400m Karışık</t>
        </is>
      </c>
      <c r="N174" s="2" t="inlineStr">
        <is>
          <t>5:30.87</t>
        </is>
      </c>
      <c r="P174" t="inlineStr">
        <is>
          <t>Enka Spor Kulübü</t>
        </is>
      </c>
      <c r="Q174" t="inlineStr">
        <is>
          <t>İstanbul</t>
        </is>
      </c>
      <c r="R174">
        <f>Q174=B174</f>
        <v/>
      </c>
      <c r="T174">
        <f>MATCH(D174,[1]Manual!$A:$A,0)</f>
        <v/>
      </c>
    </row>
    <row r="175" ht="15.95" customHeight="1">
      <c r="A175" s="4" t="n">
        <v>174</v>
      </c>
      <c r="B175" s="4" t="inlineStr">
        <is>
          <t>İstanbul</t>
        </is>
      </c>
      <c r="C175" s="5" t="inlineStr">
        <is>
          <t>Erkek</t>
        </is>
      </c>
      <c r="D175" s="5" t="inlineStr">
        <is>
          <t>Kerim Deniz Köken</t>
        </is>
      </c>
      <c r="E175" s="4" t="inlineStr">
        <is>
          <t>11</t>
        </is>
      </c>
      <c r="F175" s="4" t="inlineStr">
        <is>
          <t>34015569156</t>
        </is>
      </c>
      <c r="G175" s="4" t="inlineStr">
        <is>
          <t>50m Kurbağalama</t>
        </is>
      </c>
      <c r="H175" s="4" t="inlineStr">
        <is>
          <t>32.17</t>
        </is>
      </c>
      <c r="I175" s="4" t="inlineStr">
        <is>
          <t>200m Kurbağalama</t>
        </is>
      </c>
      <c r="J175" s="4" t="inlineStr">
        <is>
          <t>2:39.56</t>
        </is>
      </c>
      <c r="K175" s="4" t="inlineStr">
        <is>
          <t>100m Kurbağalama</t>
        </is>
      </c>
      <c r="L175" s="4" t="inlineStr">
        <is>
          <t>1:10.14</t>
        </is>
      </c>
      <c r="M175" s="4" t="inlineStr">
        <is>
          <t>400m Karışık</t>
        </is>
      </c>
      <c r="N175" s="4" t="inlineStr">
        <is>
          <t>4:58.99</t>
        </is>
      </c>
      <c r="P175" t="inlineStr">
        <is>
          <t>Enka Spor Kulübü</t>
        </is>
      </c>
      <c r="Q175" t="inlineStr">
        <is>
          <t>İstanbul</t>
        </is>
      </c>
      <c r="R175">
        <f>Q175=B175</f>
        <v/>
      </c>
      <c r="T175">
        <f>MATCH(D175,[1]Manual!$A:$A,0)</f>
        <v/>
      </c>
    </row>
    <row r="176" ht="15.95" customHeight="1">
      <c r="A176" s="2" t="n">
        <v>175</v>
      </c>
      <c r="B176" s="2" t="inlineStr">
        <is>
          <t>İstanbul</t>
        </is>
      </c>
      <c r="C176" s="3" t="inlineStr">
        <is>
          <t>Erkek</t>
        </is>
      </c>
      <c r="D176" s="3" t="inlineStr">
        <is>
          <t>Kıvanç ÖZKAN</t>
        </is>
      </c>
      <c r="E176" s="2" t="inlineStr">
        <is>
          <t>10</t>
        </is>
      </c>
      <c r="F176" s="2" t="inlineStr">
        <is>
          <t>52093814555</t>
        </is>
      </c>
      <c r="G176" s="2" t="inlineStr">
        <is>
          <t>50m Serbest</t>
        </is>
      </c>
      <c r="H176" s="2" t="inlineStr">
        <is>
          <t>23.86</t>
        </is>
      </c>
      <c r="I176" s="2" t="inlineStr">
        <is>
          <t>200m Serbest</t>
        </is>
      </c>
      <c r="J176" s="2" t="inlineStr">
        <is>
          <t>1:57.89</t>
        </is>
      </c>
      <c r="K176" s="2" t="inlineStr">
        <is>
          <t>100m Serbest</t>
        </is>
      </c>
      <c r="L176" s="2" t="inlineStr">
        <is>
          <t>52.56</t>
        </is>
      </c>
      <c r="M176" s="2" t="inlineStr">
        <is>
          <t>50m Kelebek</t>
        </is>
      </c>
      <c r="N176" s="2" t="inlineStr">
        <is>
          <t>25.87</t>
        </is>
      </c>
      <c r="P176" s="6" t="inlineStr">
        <is>
          <t>Galatasaray Spor Kulübü</t>
        </is>
      </c>
      <c r="Q176" s="6" t="inlineStr">
        <is>
          <t>İstanbul</t>
        </is>
      </c>
      <c r="R176">
        <f>Q176=B176</f>
        <v/>
      </c>
      <c r="T176">
        <f>MATCH(D176,[1]Manual!$A:$A,0)</f>
        <v/>
      </c>
    </row>
    <row r="177" ht="15.95" customHeight="1">
      <c r="A177" s="4" t="n">
        <v>176</v>
      </c>
      <c r="B177" s="4" t="inlineStr">
        <is>
          <t>İstanbul</t>
        </is>
      </c>
      <c r="C177" s="5" t="inlineStr">
        <is>
          <t>Erkek</t>
        </is>
      </c>
      <c r="D177" s="5" t="inlineStr">
        <is>
          <t>Muhsin Demir BOYLU</t>
        </is>
      </c>
      <c r="E177" s="4" t="inlineStr">
        <is>
          <t>14</t>
        </is>
      </c>
      <c r="F177" s="4" t="inlineStr">
        <is>
          <t>29992932314</t>
        </is>
      </c>
      <c r="G177" s="4" t="inlineStr">
        <is>
          <t>100m Serbest</t>
        </is>
      </c>
      <c r="H177" s="4" t="inlineStr">
        <is>
          <t>1:03.93</t>
        </is>
      </c>
      <c r="I177" s="4" t="inlineStr">
        <is>
          <t>100m Kurbağalama</t>
        </is>
      </c>
      <c r="J177" s="4" t="inlineStr">
        <is>
          <t>1:24.58</t>
        </is>
      </c>
      <c r="K177" s="4" t="inlineStr">
        <is>
          <t>200m Serbest</t>
        </is>
      </c>
      <c r="L177" s="4" t="inlineStr">
        <is>
          <t>2:22.30</t>
        </is>
      </c>
      <c r="M177" s="4" t="inlineStr">
        <is>
          <t>200m Kurbağalama</t>
        </is>
      </c>
      <c r="N177" s="4" t="inlineStr">
        <is>
          <t>3:11.89</t>
        </is>
      </c>
      <c r="P177" t="inlineStr">
        <is>
          <t>Enka Spor Kulübü</t>
        </is>
      </c>
      <c r="Q177" t="inlineStr">
        <is>
          <t>İstanbul</t>
        </is>
      </c>
      <c r="R177">
        <f>Q177=B177</f>
        <v/>
      </c>
      <c r="T177">
        <f>MATCH(D177,[1]Manual!$A:$A,0)</f>
        <v/>
      </c>
    </row>
    <row r="178" ht="15.95" customHeight="1">
      <c r="A178" s="2" t="n">
        <v>177</v>
      </c>
      <c r="B178" s="2" t="inlineStr">
        <is>
          <t>İstanbul</t>
        </is>
      </c>
      <c r="C178" s="3" t="inlineStr">
        <is>
          <t>Erkek</t>
        </is>
      </c>
      <c r="D178" s="3" t="inlineStr">
        <is>
          <t>Murat Çağan OLCAY</t>
        </is>
      </c>
      <c r="E178" s="2" t="inlineStr">
        <is>
          <t>10</t>
        </is>
      </c>
      <c r="F178" s="2" t="inlineStr">
        <is>
          <t>34748391552</t>
        </is>
      </c>
      <c r="G178" s="2" t="inlineStr">
        <is>
          <t>50m Serbest</t>
        </is>
      </c>
      <c r="H178" s="2" t="inlineStr">
        <is>
          <t>25.13</t>
        </is>
      </c>
      <c r="I178" s="2" t="inlineStr">
        <is>
          <t>200m Serbest</t>
        </is>
      </c>
      <c r="J178" s="2" t="inlineStr">
        <is>
          <t>1:59.89</t>
        </is>
      </c>
      <c r="K178" s="2" t="inlineStr">
        <is>
          <t>100m Serbest</t>
        </is>
      </c>
      <c r="L178" s="2" t="inlineStr">
        <is>
          <t>53.82</t>
        </is>
      </c>
      <c r="M178" s="2" t="inlineStr">
        <is>
          <t>400m Serbest</t>
        </is>
      </c>
      <c r="N178" s="2" t="inlineStr">
        <is>
          <t>4:28.21</t>
        </is>
      </c>
      <c r="P178" s="6" t="inlineStr">
        <is>
          <t>Fenerbahçe Spor Kulübü</t>
        </is>
      </c>
      <c r="Q178" s="6" t="inlineStr">
        <is>
          <t>İstanbul</t>
        </is>
      </c>
      <c r="R178">
        <f>Q178=B178</f>
        <v/>
      </c>
      <c r="T178">
        <f>MATCH(D178,[1]Manual!$A:$A,0)</f>
        <v/>
      </c>
    </row>
    <row r="179" ht="15.95" customHeight="1">
      <c r="A179" s="4" t="n">
        <v>178</v>
      </c>
      <c r="B179" s="4" t="inlineStr">
        <is>
          <t>İstanbul</t>
        </is>
      </c>
      <c r="C179" s="5" t="inlineStr">
        <is>
          <t>Erkek</t>
        </is>
      </c>
      <c r="D179" s="5" t="inlineStr">
        <is>
          <t>Mustafa Demir AY</t>
        </is>
      </c>
      <c r="E179" s="4" t="inlineStr">
        <is>
          <t>12</t>
        </is>
      </c>
      <c r="F179" s="4" t="inlineStr">
        <is>
          <t>16727996259</t>
        </is>
      </c>
      <c r="G179" s="4" t="inlineStr">
        <is>
          <t>50m Kurbağalama</t>
        </is>
      </c>
      <c r="H179" s="4" t="inlineStr">
        <is>
          <t>32.94</t>
        </is>
      </c>
      <c r="I179" s="4" t="inlineStr">
        <is>
          <t>200m Kurbağalama</t>
        </is>
      </c>
      <c r="J179" s="4" t="inlineStr">
        <is>
          <t>2:40.82</t>
        </is>
      </c>
      <c r="K179" s="4" t="inlineStr">
        <is>
          <t>100m Kurbağalama</t>
        </is>
      </c>
      <c r="L179" s="4" t="inlineStr">
        <is>
          <t>1:11.85</t>
        </is>
      </c>
      <c r="M179" s="4" t="inlineStr">
        <is>
          <t>200m Karışık</t>
        </is>
      </c>
      <c r="N179" s="4" t="inlineStr">
        <is>
          <t>2:23.91</t>
        </is>
      </c>
      <c r="P179" t="inlineStr">
        <is>
          <t>Fenerbahçe Spor Kulübü</t>
        </is>
      </c>
      <c r="Q179" t="inlineStr">
        <is>
          <t>İstanbul</t>
        </is>
      </c>
      <c r="R179">
        <f>Q179=B179</f>
        <v/>
      </c>
      <c r="T179">
        <f>MATCH(D179,[1]Manual!$A:$A,0)</f>
        <v/>
      </c>
    </row>
    <row r="180" ht="15.95" customHeight="1">
      <c r="A180" s="2" t="n">
        <v>179</v>
      </c>
      <c r="B180" s="2" t="inlineStr">
        <is>
          <t>İstanbul</t>
        </is>
      </c>
      <c r="C180" s="3" t="inlineStr">
        <is>
          <t>Erkek</t>
        </is>
      </c>
      <c r="D180" s="3" t="inlineStr">
        <is>
          <t>Mustafa Mert KIRAÇ</t>
        </is>
      </c>
      <c r="E180" s="2" t="inlineStr">
        <is>
          <t>13</t>
        </is>
      </c>
      <c r="F180" s="2" t="inlineStr">
        <is>
          <t>15502022916</t>
        </is>
      </c>
      <c r="G180" s="2" t="inlineStr">
        <is>
          <t>100m Serbest</t>
        </is>
      </c>
      <c r="H180" s="2" t="inlineStr">
        <is>
          <t>58.80</t>
        </is>
      </c>
      <c r="I180" s="2" t="inlineStr">
        <is>
          <t>100m Sırtüstü</t>
        </is>
      </c>
      <c r="J180" s="2" t="inlineStr">
        <is>
          <t>1:06.76</t>
        </is>
      </c>
      <c r="K180" s="2" t="inlineStr">
        <is>
          <t>200m Serbest</t>
        </is>
      </c>
      <c r="L180" s="2" t="inlineStr">
        <is>
          <t>2:09.43</t>
        </is>
      </c>
      <c r="M180" s="2" t="inlineStr">
        <is>
          <t>100m Kelebek</t>
        </is>
      </c>
      <c r="N180" s="2" t="inlineStr">
        <is>
          <t>1:05.53</t>
        </is>
      </c>
      <c r="P180" t="inlineStr">
        <is>
          <t>Fenerbahçe Spor Kulübü</t>
        </is>
      </c>
      <c r="Q180" t="inlineStr">
        <is>
          <t>İstanbul</t>
        </is>
      </c>
      <c r="R180">
        <f>Q180=B180</f>
        <v/>
      </c>
      <c r="T180">
        <f>MATCH(D180,[1]Manual!$A:$A,0)</f>
        <v/>
      </c>
    </row>
    <row r="181" ht="15.95" customHeight="1">
      <c r="A181" s="4" t="n">
        <v>180</v>
      </c>
      <c r="B181" s="4" t="inlineStr">
        <is>
          <t>İstanbul</t>
        </is>
      </c>
      <c r="C181" s="5" t="inlineStr">
        <is>
          <t>Erkek</t>
        </is>
      </c>
      <c r="D181" s="5" t="inlineStr">
        <is>
          <t>Mustafa Özgür YALÇIN</t>
        </is>
      </c>
      <c r="E181" s="4" t="inlineStr">
        <is>
          <t>09</t>
        </is>
      </c>
      <c r="F181" s="4" t="inlineStr">
        <is>
          <t>28135707011</t>
        </is>
      </c>
      <c r="G181" s="4" t="inlineStr">
        <is>
          <t>100m Serbest</t>
        </is>
      </c>
      <c r="H181" s="4" t="inlineStr">
        <is>
          <t>55.99</t>
        </is>
      </c>
      <c r="I181" s="4" t="inlineStr">
        <is>
          <t>100m Kurbağalama</t>
        </is>
      </c>
      <c r="J181" s="4" t="inlineStr">
        <is>
          <t>1:04.08</t>
        </is>
      </c>
      <c r="K181" s="4" t="inlineStr">
        <is>
          <t>200m Serbest</t>
        </is>
      </c>
      <c r="L181" s="4" t="inlineStr">
        <is>
          <t>2:09.84</t>
        </is>
      </c>
      <c r="M181" s="4" t="inlineStr">
        <is>
          <t>200m Kurbağalama</t>
        </is>
      </c>
      <c r="N181" s="4" t="inlineStr">
        <is>
          <t>2:16.79</t>
        </is>
      </c>
      <c r="P181" s="6" t="inlineStr">
        <is>
          <t>Enka Spor Kulübü</t>
        </is>
      </c>
      <c r="Q181" s="6" t="inlineStr">
        <is>
          <t>İstanbul</t>
        </is>
      </c>
      <c r="R181">
        <f>Q181=B181</f>
        <v/>
      </c>
      <c r="T181">
        <f>MATCH(D181,[1]Manual!$A:$A,0)</f>
        <v/>
      </c>
    </row>
    <row r="182" ht="15.95" customHeight="1">
      <c r="A182" s="2" t="n">
        <v>181</v>
      </c>
      <c r="B182" s="2" t="inlineStr">
        <is>
          <t>İstanbul</t>
        </is>
      </c>
      <c r="C182" s="3" t="inlineStr">
        <is>
          <t>Erkek</t>
        </is>
      </c>
      <c r="D182" s="3" t="inlineStr">
        <is>
          <t>Poyraz YÜKSEL</t>
        </is>
      </c>
      <c r="E182" s="2" t="inlineStr">
        <is>
          <t>12</t>
        </is>
      </c>
      <c r="F182" s="2" t="inlineStr">
        <is>
          <t>31433507111</t>
        </is>
      </c>
      <c r="G182" s="2" t="inlineStr">
        <is>
          <t>100m Kurbağalama</t>
        </is>
      </c>
      <c r="H182" s="2" t="inlineStr">
        <is>
          <t>1:11.33</t>
        </is>
      </c>
      <c r="I182" s="2" t="inlineStr">
        <is>
          <t>200m Karışık</t>
        </is>
      </c>
      <c r="J182" s="2" t="inlineStr">
        <is>
          <t>2:24.85</t>
        </is>
      </c>
      <c r="K182" s="2" t="inlineStr">
        <is>
          <t>200m Kurbağalama</t>
        </is>
      </c>
      <c r="L182" s="2" t="inlineStr">
        <is>
          <t>2:31.88</t>
        </is>
      </c>
      <c r="M182" s="2" t="inlineStr">
        <is>
          <t>400m Karışık</t>
        </is>
      </c>
      <c r="N182" s="2" t="inlineStr">
        <is>
          <t>5:05.54</t>
        </is>
      </c>
      <c r="P182" t="inlineStr">
        <is>
          <t>Fenerbahçe Spor Kulübü</t>
        </is>
      </c>
      <c r="Q182" t="inlineStr">
        <is>
          <t>İstanbul</t>
        </is>
      </c>
      <c r="R182">
        <f>Q182=B182</f>
        <v/>
      </c>
      <c r="T182">
        <f>MATCH(D182,[1]Manual!$A:$A,0)</f>
        <v/>
      </c>
    </row>
    <row r="183" ht="15.95" customHeight="1">
      <c r="A183" s="4" t="n">
        <v>182</v>
      </c>
      <c r="B183" s="4" t="inlineStr">
        <is>
          <t>İstanbul</t>
        </is>
      </c>
      <c r="C183" s="5" t="inlineStr">
        <is>
          <t>Erkek</t>
        </is>
      </c>
      <c r="D183" s="5" t="inlineStr">
        <is>
          <t>Rüzgar APAYDIN</t>
        </is>
      </c>
      <c r="E183" s="4" t="inlineStr">
        <is>
          <t>11</t>
        </is>
      </c>
      <c r="F183" s="4" t="inlineStr">
        <is>
          <t>67441304253</t>
        </is>
      </c>
      <c r="G183" s="4" t="inlineStr">
        <is>
          <t>50m Serbest</t>
        </is>
      </c>
      <c r="H183" s="4" t="inlineStr">
        <is>
          <t>25.34</t>
        </is>
      </c>
      <c r="I183" s="4" t="inlineStr">
        <is>
          <t>100m Kurbağalama</t>
        </is>
      </c>
      <c r="J183" s="4" t="inlineStr">
        <is>
          <t>1:08.26</t>
        </is>
      </c>
      <c r="K183" s="4" t="inlineStr">
        <is>
          <t>50m Kurbağalama</t>
        </is>
      </c>
      <c r="L183" s="4" t="inlineStr">
        <is>
          <t>31.19</t>
        </is>
      </c>
      <c r="M183" s="4" t="inlineStr">
        <is>
          <t>50m Kelebek</t>
        </is>
      </c>
      <c r="N183" s="4" t="inlineStr">
        <is>
          <t>26.93</t>
        </is>
      </c>
      <c r="P183" t="inlineStr">
        <is>
          <t>Enka Spor Kulübü</t>
        </is>
      </c>
      <c r="Q183" t="inlineStr">
        <is>
          <t>İstanbul</t>
        </is>
      </c>
      <c r="R183">
        <f>Q183=B183</f>
        <v/>
      </c>
      <c r="T183">
        <f>MATCH(D183,[1]Manual!$A:$A,0)</f>
        <v/>
      </c>
    </row>
    <row r="184" ht="15.95" customHeight="1">
      <c r="A184" s="2" t="n">
        <v>183</v>
      </c>
      <c r="B184" s="2" t="inlineStr">
        <is>
          <t>İstanbul</t>
        </is>
      </c>
      <c r="C184" s="3" t="inlineStr">
        <is>
          <t>Erkek</t>
        </is>
      </c>
      <c r="D184" s="3" t="inlineStr">
        <is>
          <t>Taha SADE</t>
        </is>
      </c>
      <c r="E184" s="2" t="inlineStr">
        <is>
          <t>12</t>
        </is>
      </c>
      <c r="F184" s="2" t="inlineStr">
        <is>
          <t>11907157025</t>
        </is>
      </c>
      <c r="G184" s="2" t="inlineStr">
        <is>
          <t>200m Serbest</t>
        </is>
      </c>
      <c r="H184" s="2" t="inlineStr">
        <is>
          <t>2:03.49</t>
        </is>
      </c>
      <c r="I184" s="2" t="inlineStr">
        <is>
          <t>800m Serbest</t>
        </is>
      </c>
      <c r="J184" s="2" t="inlineStr">
        <is>
          <t>8:34.36</t>
        </is>
      </c>
      <c r="K184" s="2" t="inlineStr">
        <is>
          <t>400m Serbest</t>
        </is>
      </c>
      <c r="L184" s="2" t="inlineStr">
        <is>
          <t>4:15.35</t>
        </is>
      </c>
      <c r="M184" s="2" t="inlineStr">
        <is>
          <t>1500m Serbest</t>
        </is>
      </c>
      <c r="N184" s="2" t="inlineStr">
        <is>
          <t>16:19.78</t>
        </is>
      </c>
      <c r="P184" t="inlineStr">
        <is>
          <t>Galatasaray Spor Kulübü</t>
        </is>
      </c>
      <c r="Q184" t="inlineStr">
        <is>
          <t>İstanbul</t>
        </is>
      </c>
      <c r="R184">
        <f>Q184=B184</f>
        <v/>
      </c>
      <c r="T184">
        <f>MATCH(D184,[1]Manual!$A:$A,0)</f>
        <v/>
      </c>
    </row>
    <row r="185" ht="15.95" customHeight="1">
      <c r="A185" s="4" t="n">
        <v>184</v>
      </c>
      <c r="B185" s="4" t="inlineStr">
        <is>
          <t>İstanbul</t>
        </is>
      </c>
      <c r="C185" s="5" t="inlineStr">
        <is>
          <t>Erkek</t>
        </is>
      </c>
      <c r="D185" s="5" t="inlineStr">
        <is>
          <t>Toprak DURMAZ</t>
        </is>
      </c>
      <c r="E185" s="4" t="inlineStr">
        <is>
          <t>10</t>
        </is>
      </c>
      <c r="F185" s="4" t="inlineStr">
        <is>
          <t>31243865458</t>
        </is>
      </c>
      <c r="G185" s="4" t="inlineStr">
        <is>
          <t>50m Serbest</t>
        </is>
      </c>
      <c r="H185" s="4" t="inlineStr">
        <is>
          <t>24.50</t>
        </is>
      </c>
      <c r="I185" s="4" t="inlineStr">
        <is>
          <t>200m Serbest</t>
        </is>
      </c>
      <c r="J185" s="4" t="inlineStr">
        <is>
          <t>1:55.54</t>
        </is>
      </c>
      <c r="K185" s="4" t="inlineStr">
        <is>
          <t>100m Serbest</t>
        </is>
      </c>
      <c r="L185" s="4" t="inlineStr">
        <is>
          <t>53.49</t>
        </is>
      </c>
      <c r="M185" s="4" t="inlineStr">
        <is>
          <t>400m Serbest</t>
        </is>
      </c>
      <c r="N185" s="4" t="inlineStr">
        <is>
          <t>4:07.09</t>
        </is>
      </c>
      <c r="P185" s="6" t="inlineStr">
        <is>
          <t>Galatasaray Spor Kulübü</t>
        </is>
      </c>
      <c r="Q185" s="6" t="inlineStr">
        <is>
          <t>İstanbul</t>
        </is>
      </c>
      <c r="R185">
        <f>Q185=B185</f>
        <v/>
      </c>
      <c r="T185">
        <f>MATCH(D185,[1]Manual!$A:$A,0)</f>
        <v/>
      </c>
    </row>
    <row r="186" ht="15.95" customHeight="1">
      <c r="A186" s="2" t="n">
        <v>185</v>
      </c>
      <c r="B186" s="2" t="inlineStr">
        <is>
          <t>İstanbul</t>
        </is>
      </c>
      <c r="C186" s="3" t="inlineStr">
        <is>
          <t>Erkek</t>
        </is>
      </c>
      <c r="D186" s="3" t="inlineStr">
        <is>
          <t>Toprak Kemal MASALCI</t>
        </is>
      </c>
      <c r="E186" s="2" t="inlineStr">
        <is>
          <t>10</t>
        </is>
      </c>
      <c r="F186" s="2" t="inlineStr">
        <is>
          <t>44095175819</t>
        </is>
      </c>
      <c r="G186" s="2" t="inlineStr">
        <is>
          <t>100m Serbest</t>
        </is>
      </c>
      <c r="H186" s="2" t="inlineStr">
        <is>
          <t>1:00.27</t>
        </is>
      </c>
      <c r="I186" s="2" t="inlineStr">
        <is>
          <t>100m Sırtüstü</t>
        </is>
      </c>
      <c r="J186" s="2" t="inlineStr">
        <is>
          <t>1:00.23</t>
        </is>
      </c>
      <c r="K186" s="2" t="inlineStr">
        <is>
          <t>50m Sırtüstü</t>
        </is>
      </c>
      <c r="L186" s="2" t="inlineStr">
        <is>
          <t>28.07</t>
        </is>
      </c>
      <c r="M186" s="2" t="inlineStr">
        <is>
          <t>200m Sırtüstü</t>
        </is>
      </c>
      <c r="N186" s="2" t="inlineStr">
        <is>
          <t>2:09.10</t>
        </is>
      </c>
      <c r="P186" s="6" t="inlineStr">
        <is>
          <t>Enka Spor Kulübü</t>
        </is>
      </c>
      <c r="Q186" s="6" t="inlineStr">
        <is>
          <t>İstanbul</t>
        </is>
      </c>
      <c r="R186">
        <f>Q186=B186</f>
        <v/>
      </c>
      <c r="T186">
        <f>MATCH(D186,[1]Manual!$A:$A,0)</f>
        <v/>
      </c>
    </row>
    <row r="187" ht="15.95" customHeight="1">
      <c r="A187" s="4" t="n">
        <v>186</v>
      </c>
      <c r="B187" s="4" t="inlineStr">
        <is>
          <t>İstanbul</t>
        </is>
      </c>
      <c r="C187" s="5" t="inlineStr">
        <is>
          <t>Erkek</t>
        </is>
      </c>
      <c r="D187" s="5" t="inlineStr">
        <is>
          <t>Tunç UÇAN</t>
        </is>
      </c>
      <c r="E187" s="4" t="inlineStr">
        <is>
          <t>11</t>
        </is>
      </c>
      <c r="F187" s="4" t="inlineStr">
        <is>
          <t>48475249615</t>
        </is>
      </c>
      <c r="G187" s="4" t="inlineStr">
        <is>
          <t>100m Sırtüstü</t>
        </is>
      </c>
      <c r="H187" s="4" t="inlineStr">
        <is>
          <t>1:00.48</t>
        </is>
      </c>
      <c r="I187" s="4" t="inlineStr">
        <is>
          <t>200m Karışık</t>
        </is>
      </c>
      <c r="J187" s="4" t="inlineStr">
        <is>
          <t>2:08.29</t>
        </is>
      </c>
      <c r="K187" s="4" t="inlineStr">
        <is>
          <t>200m Sırtüstü</t>
        </is>
      </c>
      <c r="L187" s="4" t="inlineStr">
        <is>
          <t>2:07.84</t>
        </is>
      </c>
      <c r="M187" s="4" t="inlineStr">
        <is>
          <t>400m Karışık</t>
        </is>
      </c>
      <c r="N187" s="4" t="inlineStr">
        <is>
          <t>4:33.81</t>
        </is>
      </c>
      <c r="P187" t="inlineStr">
        <is>
          <t>Galatasaray Spor Kulübü</t>
        </is>
      </c>
      <c r="Q187" t="inlineStr">
        <is>
          <t>İstanbul</t>
        </is>
      </c>
      <c r="R187">
        <f>Q187=B187</f>
        <v/>
      </c>
      <c r="T187">
        <f>MATCH(D187,[1]Manual!$A:$A,0)</f>
        <v/>
      </c>
    </row>
    <row r="188" ht="15.95" customHeight="1">
      <c r="A188" s="2" t="n">
        <v>187</v>
      </c>
      <c r="B188" s="2" t="inlineStr">
        <is>
          <t>İstanbul</t>
        </is>
      </c>
      <c r="C188" s="3" t="inlineStr">
        <is>
          <t>Erkek</t>
        </is>
      </c>
      <c r="D188" s="3" t="inlineStr">
        <is>
          <t>Ulus MEMİŞ</t>
        </is>
      </c>
      <c r="E188" s="2" t="inlineStr">
        <is>
          <t>10</t>
        </is>
      </c>
      <c r="F188" s="2" t="inlineStr">
        <is>
          <t>51199105156</t>
        </is>
      </c>
      <c r="G188" s="2" t="inlineStr">
        <is>
          <t>50m Serbest</t>
        </is>
      </c>
      <c r="H188" s="2" t="inlineStr">
        <is>
          <t>24.76</t>
        </is>
      </c>
      <c r="I188" s="2" t="inlineStr">
        <is>
          <t>50m Kelebek</t>
        </is>
      </c>
      <c r="J188" s="2" t="inlineStr">
        <is>
          <t>26.46</t>
        </is>
      </c>
      <c r="K188" s="2" t="inlineStr">
        <is>
          <t>100m Serbest</t>
        </is>
      </c>
      <c r="L188" s="2" t="inlineStr">
        <is>
          <t>54.36</t>
        </is>
      </c>
      <c r="M188" s="2" t="n"/>
      <c r="N188" s="2" t="inlineStr">
        <is>
          <t>NT</t>
        </is>
      </c>
      <c r="P188" s="6" t="inlineStr">
        <is>
          <t>Galatasaray Spor Kulübü</t>
        </is>
      </c>
      <c r="Q188" s="6" t="inlineStr">
        <is>
          <t>İstanbul</t>
        </is>
      </c>
      <c r="R188">
        <f>Q188=B188</f>
        <v/>
      </c>
      <c r="T188">
        <f>MATCH(D188,[1]Manual!$A:$A,0)</f>
        <v/>
      </c>
    </row>
    <row r="189" ht="15.95" customHeight="1">
      <c r="A189" s="4" t="n">
        <v>188</v>
      </c>
      <c r="B189" s="4" t="inlineStr">
        <is>
          <t>İstanbul</t>
        </is>
      </c>
      <c r="C189" s="5" t="inlineStr">
        <is>
          <t>Erkek</t>
        </is>
      </c>
      <c r="D189" s="5" t="inlineStr">
        <is>
          <t>Yağızhan Aydın DEMİR</t>
        </is>
      </c>
      <c r="E189" s="4" t="inlineStr">
        <is>
          <t>10</t>
        </is>
      </c>
      <c r="F189" s="4" t="inlineStr">
        <is>
          <t>37268154921</t>
        </is>
      </c>
      <c r="G189" s="4" t="inlineStr">
        <is>
          <t>200m Serbest</t>
        </is>
      </c>
      <c r="H189" s="4" t="inlineStr">
        <is>
          <t>1:57.85</t>
        </is>
      </c>
      <c r="I189" s="4" t="inlineStr">
        <is>
          <t>100m Kelebek</t>
        </is>
      </c>
      <c r="J189" s="4" t="inlineStr">
        <is>
          <t>59.58</t>
        </is>
      </c>
      <c r="K189" s="4" t="inlineStr">
        <is>
          <t>400m Serbest</t>
        </is>
      </c>
      <c r="L189" s="4" t="inlineStr">
        <is>
          <t>4:08.49</t>
        </is>
      </c>
      <c r="M189" s="4" t="inlineStr">
        <is>
          <t>200m Kelebek</t>
        </is>
      </c>
      <c r="N189" s="4" t="inlineStr">
        <is>
          <t>2:09.28</t>
        </is>
      </c>
      <c r="P189" s="6" t="inlineStr">
        <is>
          <t>Galatasaray Spor Kulübü</t>
        </is>
      </c>
      <c r="Q189" s="6" t="inlineStr">
        <is>
          <t>İstanbul</t>
        </is>
      </c>
      <c r="R189">
        <f>Q189=B189</f>
        <v/>
      </c>
      <c r="T189">
        <f>MATCH(D189,[1]Manual!$A:$A,0)</f>
        <v/>
      </c>
    </row>
    <row r="190" ht="15.95" customHeight="1">
      <c r="A190" s="2" t="n">
        <v>189</v>
      </c>
      <c r="B190" s="2" t="inlineStr">
        <is>
          <t>İstanbul</t>
        </is>
      </c>
      <c r="C190" s="3" t="inlineStr">
        <is>
          <t>Erkek</t>
        </is>
      </c>
      <c r="D190" s="3" t="inlineStr">
        <is>
          <t>Yusuf Eymen CAN</t>
        </is>
      </c>
      <c r="E190" s="2" t="inlineStr">
        <is>
          <t>13</t>
        </is>
      </c>
      <c r="F190" s="2" t="inlineStr">
        <is>
          <t>19613901147</t>
        </is>
      </c>
      <c r="G190" s="2" t="inlineStr">
        <is>
          <t>400m Serbest</t>
        </is>
      </c>
      <c r="H190" s="2" t="inlineStr">
        <is>
          <t>4:36.06</t>
        </is>
      </c>
      <c r="I190" s="2" t="inlineStr">
        <is>
          <t>1500m Serbest</t>
        </is>
      </c>
      <c r="J190" s="2" t="inlineStr">
        <is>
          <t>18:16.01</t>
        </is>
      </c>
      <c r="K190" s="2" t="inlineStr">
        <is>
          <t>800m Serbest</t>
        </is>
      </c>
      <c r="L190" s="2" t="inlineStr">
        <is>
          <t>9:32.10</t>
        </is>
      </c>
      <c r="M190" s="2" t="inlineStr">
        <is>
          <t>400m Karışık</t>
        </is>
      </c>
      <c r="N190" s="2" t="inlineStr">
        <is>
          <t>NT</t>
        </is>
      </c>
      <c r="P190" t="inlineStr">
        <is>
          <t>Enka Spor Kulübü</t>
        </is>
      </c>
      <c r="Q190" t="inlineStr">
        <is>
          <t>İstanbul</t>
        </is>
      </c>
      <c r="R190">
        <f>Q190=B190</f>
        <v/>
      </c>
      <c r="T190">
        <f>MATCH(D190,[1]Manual!$A:$A,0)</f>
        <v/>
      </c>
    </row>
    <row r="191" ht="15.95" customHeight="1">
      <c r="A191" s="4" t="n">
        <v>190</v>
      </c>
      <c r="B191" s="4" t="inlineStr">
        <is>
          <t>İstanbul</t>
        </is>
      </c>
      <c r="C191" s="5" t="inlineStr">
        <is>
          <t>Erkek</t>
        </is>
      </c>
      <c r="D191" s="5" t="inlineStr">
        <is>
          <t>Ömer ULUDAĞ</t>
        </is>
      </c>
      <c r="E191" s="4" t="inlineStr">
        <is>
          <t>14</t>
        </is>
      </c>
      <c r="F191" s="4" t="inlineStr">
        <is>
          <t>26663042312</t>
        </is>
      </c>
      <c r="G191" s="4" t="inlineStr">
        <is>
          <t>100m Kurbağalama</t>
        </is>
      </c>
      <c r="H191" s="4" t="inlineStr">
        <is>
          <t>1:23.20</t>
        </is>
      </c>
      <c r="I191" s="4" t="inlineStr">
        <is>
          <t>200m Karışık</t>
        </is>
      </c>
      <c r="J191" s="4" t="inlineStr">
        <is>
          <t>2:44.64</t>
        </is>
      </c>
      <c r="K191" s="4" t="inlineStr">
        <is>
          <t>200m Kurbağalama</t>
        </is>
      </c>
      <c r="L191" s="4" t="inlineStr">
        <is>
          <t>2:58.36</t>
        </is>
      </c>
      <c r="M191" s="4" t="inlineStr">
        <is>
          <t>400m Karışık</t>
        </is>
      </c>
      <c r="N191" s="4" t="inlineStr">
        <is>
          <t>5:43.98</t>
        </is>
      </c>
      <c r="P191" t="inlineStr">
        <is>
          <t>Enka Spor Kulübü</t>
        </is>
      </c>
      <c r="Q191" t="inlineStr">
        <is>
          <t>İstanbul</t>
        </is>
      </c>
      <c r="R191">
        <f>Q191=B191</f>
        <v/>
      </c>
      <c r="T191">
        <f>MATCH(D191,[1]Manual!$A:$A,0)</f>
        <v/>
      </c>
    </row>
    <row r="192" ht="15.95" customHeight="1">
      <c r="A192" s="2" t="n">
        <v>191</v>
      </c>
      <c r="B192" s="2" t="inlineStr">
        <is>
          <t>İstanbul</t>
        </is>
      </c>
      <c r="C192" s="3" t="inlineStr">
        <is>
          <t>Bayan</t>
        </is>
      </c>
      <c r="D192" s="3" t="inlineStr">
        <is>
          <t>Azra AŞKAR</t>
        </is>
      </c>
      <c r="E192" s="2" t="inlineStr">
        <is>
          <t>10</t>
        </is>
      </c>
      <c r="F192" s="2" t="inlineStr">
        <is>
          <t>30451629953</t>
        </is>
      </c>
      <c r="G192" s="2" t="inlineStr">
        <is>
          <t>50m Kurbağalama</t>
        </is>
      </c>
      <c r="H192" s="2" t="inlineStr">
        <is>
          <t>33.81</t>
        </is>
      </c>
      <c r="I192" s="2" t="inlineStr">
        <is>
          <t>200m Kurbağalama</t>
        </is>
      </c>
      <c r="J192" s="2" t="inlineStr">
        <is>
          <t>2:36.97</t>
        </is>
      </c>
      <c r="K192" s="2" t="inlineStr">
        <is>
          <t>100m Kurbağalama</t>
        </is>
      </c>
      <c r="L192" s="2" t="inlineStr">
        <is>
          <t>1:14.68</t>
        </is>
      </c>
      <c r="M192" s="2" t="n"/>
      <c r="N192" s="2" t="inlineStr">
        <is>
          <t>NT</t>
        </is>
      </c>
      <c r="P192" s="6" t="inlineStr">
        <is>
          <t>Enka Spor Kulübü</t>
        </is>
      </c>
      <c r="Q192" s="6" t="inlineStr">
        <is>
          <t>İstanbul</t>
        </is>
      </c>
      <c r="R192">
        <f>Q192=B192</f>
        <v/>
      </c>
      <c r="T192">
        <f>MATCH(D192,[1]Manual!$A:$A,0)</f>
        <v/>
      </c>
    </row>
    <row r="193" ht="15.95" customHeight="1">
      <c r="A193" s="4" t="n">
        <v>192</v>
      </c>
      <c r="B193" s="4" t="inlineStr">
        <is>
          <t>İstanbul</t>
        </is>
      </c>
      <c r="C193" s="5" t="inlineStr">
        <is>
          <t>Bayan</t>
        </is>
      </c>
      <c r="D193" s="5" t="inlineStr">
        <is>
          <t>Deniz ÇALIŞKAN</t>
        </is>
      </c>
      <c r="E193" s="4" t="inlineStr">
        <is>
          <t>13</t>
        </is>
      </c>
      <c r="F193" s="4" t="inlineStr">
        <is>
          <t>33685808118</t>
        </is>
      </c>
      <c r="G193" s="4" t="inlineStr">
        <is>
          <t>100m Serbest</t>
        </is>
      </c>
      <c r="H193" s="4" t="inlineStr">
        <is>
          <t>1:01.94</t>
        </is>
      </c>
      <c r="I193" s="4" t="inlineStr">
        <is>
          <t>100m Kelebek</t>
        </is>
      </c>
      <c r="J193" s="4" t="inlineStr">
        <is>
          <t>1:07.21</t>
        </is>
      </c>
      <c r="K193" s="4" t="inlineStr">
        <is>
          <t>200m Serbest</t>
        </is>
      </c>
      <c r="L193" s="4" t="inlineStr">
        <is>
          <t>2:16.00</t>
        </is>
      </c>
      <c r="M193" s="4" t="inlineStr">
        <is>
          <t>200m Kelebek</t>
        </is>
      </c>
      <c r="N193" s="4" t="inlineStr">
        <is>
          <t>2:36.48</t>
        </is>
      </c>
      <c r="P193" t="inlineStr">
        <is>
          <t>Fenerbahçe Spor Kulübü</t>
        </is>
      </c>
      <c r="Q193" t="inlineStr">
        <is>
          <t>İstanbul</t>
        </is>
      </c>
      <c r="R193">
        <f>Q193=B193</f>
        <v/>
      </c>
      <c r="T193">
        <f>MATCH(D193,[1]Manual!$A:$A,0)</f>
        <v/>
      </c>
    </row>
    <row r="194" ht="15.95" customHeight="1">
      <c r="A194" s="2" t="n">
        <v>193</v>
      </c>
      <c r="B194" s="2" t="inlineStr">
        <is>
          <t>İstanbul</t>
        </is>
      </c>
      <c r="C194" s="3" t="inlineStr">
        <is>
          <t>Bayan</t>
        </is>
      </c>
      <c r="D194" s="3" t="inlineStr">
        <is>
          <t>Duru AYDIN</t>
        </is>
      </c>
      <c r="E194" s="2" t="inlineStr">
        <is>
          <t>12</t>
        </is>
      </c>
      <c r="F194" s="2" t="inlineStr">
        <is>
          <t>49984259153</t>
        </is>
      </c>
      <c r="G194" s="2" t="inlineStr">
        <is>
          <t>50m Kurbağalama</t>
        </is>
      </c>
      <c r="H194" s="2" t="inlineStr">
        <is>
          <t>34.46</t>
        </is>
      </c>
      <c r="I194" s="2" t="inlineStr">
        <is>
          <t>50m Kelebek</t>
        </is>
      </c>
      <c r="J194" s="2" t="inlineStr">
        <is>
          <t>30.79</t>
        </is>
      </c>
      <c r="K194" s="2" t="inlineStr">
        <is>
          <t>100m Kurbağalama</t>
        </is>
      </c>
      <c r="L194" s="2" t="inlineStr">
        <is>
          <t>1:18.80</t>
        </is>
      </c>
      <c r="M194" s="2" t="inlineStr">
        <is>
          <t>100m Kelebek</t>
        </is>
      </c>
      <c r="N194" s="2" t="inlineStr">
        <is>
          <t>1:54.46</t>
        </is>
      </c>
      <c r="P194" t="inlineStr">
        <is>
          <t>Enka Spor Kulübü</t>
        </is>
      </c>
      <c r="Q194" t="inlineStr">
        <is>
          <t>İstanbul</t>
        </is>
      </c>
      <c r="R194">
        <f>Q194=B194</f>
        <v/>
      </c>
      <c r="T194">
        <f>MATCH(D194,[1]Manual!$A:$A,0)</f>
        <v/>
      </c>
    </row>
    <row r="195" ht="15.95" customHeight="1">
      <c r="A195" s="4" t="n">
        <v>194</v>
      </c>
      <c r="B195" s="4" t="inlineStr">
        <is>
          <t>İstanbul</t>
        </is>
      </c>
      <c r="C195" s="5" t="inlineStr">
        <is>
          <t>Bayan</t>
        </is>
      </c>
      <c r="D195" s="5" t="inlineStr">
        <is>
          <t>Elif Ayla TURGUT</t>
        </is>
      </c>
      <c r="E195" s="4" t="inlineStr">
        <is>
          <t>10</t>
        </is>
      </c>
      <c r="F195" s="4" t="inlineStr">
        <is>
          <t>30545378754</t>
        </is>
      </c>
      <c r="G195" s="4" t="inlineStr">
        <is>
          <t>50m Kurbağalama</t>
        </is>
      </c>
      <c r="H195" s="4" t="inlineStr">
        <is>
          <t>34.45</t>
        </is>
      </c>
      <c r="I195" s="4" t="inlineStr">
        <is>
          <t>200m Kurbağalama</t>
        </is>
      </c>
      <c r="J195" s="4" t="inlineStr">
        <is>
          <t>2:40.15</t>
        </is>
      </c>
      <c r="K195" s="4" t="inlineStr">
        <is>
          <t>100m Kurbağalama</t>
        </is>
      </c>
      <c r="L195" s="4" t="inlineStr">
        <is>
          <t>1:15.54</t>
        </is>
      </c>
      <c r="M195" s="4" t="inlineStr">
        <is>
          <t>50m Kelebek</t>
        </is>
      </c>
      <c r="N195" s="4" t="inlineStr">
        <is>
          <t>29.72</t>
        </is>
      </c>
      <c r="P195" s="6" t="inlineStr">
        <is>
          <t>Galatasaray Spor Kulübü</t>
        </is>
      </c>
      <c r="Q195" s="6" t="inlineStr">
        <is>
          <t>İstanbul</t>
        </is>
      </c>
      <c r="R195">
        <f>Q195=B195</f>
        <v/>
      </c>
      <c r="T195">
        <f>MATCH(D195,[1]Manual!$A:$A,0)</f>
        <v/>
      </c>
    </row>
    <row r="196" ht="15.95" customHeight="1">
      <c r="A196" s="2" t="n">
        <v>195</v>
      </c>
      <c r="B196" s="2" t="inlineStr">
        <is>
          <t>İstanbul</t>
        </is>
      </c>
      <c r="C196" s="3" t="inlineStr">
        <is>
          <t>Bayan</t>
        </is>
      </c>
      <c r="D196" s="3" t="inlineStr">
        <is>
          <t>Elvin ALVER</t>
        </is>
      </c>
      <c r="E196" s="2" t="inlineStr">
        <is>
          <t>11</t>
        </is>
      </c>
      <c r="F196" s="2" t="inlineStr">
        <is>
          <t>18185705352</t>
        </is>
      </c>
      <c r="G196" s="2" t="inlineStr">
        <is>
          <t>50m Serbest</t>
        </is>
      </c>
      <c r="H196" s="2" t="inlineStr">
        <is>
          <t>28.25</t>
        </is>
      </c>
      <c r="I196" s="2" t="inlineStr">
        <is>
          <t>50m Sırtüstü</t>
        </is>
      </c>
      <c r="J196" s="2" t="inlineStr">
        <is>
          <t>31.57</t>
        </is>
      </c>
      <c r="K196" s="2" t="inlineStr">
        <is>
          <t>100m Serbest</t>
        </is>
      </c>
      <c r="L196" s="2" t="inlineStr">
        <is>
          <t>1:02.20</t>
        </is>
      </c>
      <c r="M196" s="2" t="inlineStr">
        <is>
          <t>100m Sırtüstü</t>
        </is>
      </c>
      <c r="N196" s="2" t="inlineStr">
        <is>
          <t>1:08.26</t>
        </is>
      </c>
      <c r="P196" t="inlineStr">
        <is>
          <t>Galatasaray Spor Kulübü</t>
        </is>
      </c>
      <c r="Q196" t="inlineStr">
        <is>
          <t>İstanbul</t>
        </is>
      </c>
      <c r="R196">
        <f>Q196=B196</f>
        <v/>
      </c>
      <c r="T196">
        <f>MATCH(D196,[1]Manual!$A:$A,0)</f>
        <v/>
      </c>
    </row>
    <row r="197" ht="15.95" customHeight="1">
      <c r="A197" s="4" t="n">
        <v>196</v>
      </c>
      <c r="B197" s="4" t="inlineStr">
        <is>
          <t>İstanbul</t>
        </is>
      </c>
      <c r="C197" s="5" t="inlineStr">
        <is>
          <t>Bayan</t>
        </is>
      </c>
      <c r="D197" s="5" t="inlineStr">
        <is>
          <t>İdil GÜLCAN</t>
        </is>
      </c>
      <c r="E197" s="4" t="inlineStr">
        <is>
          <t>11</t>
        </is>
      </c>
      <c r="F197" s="4" t="inlineStr">
        <is>
          <t>51532207215</t>
        </is>
      </c>
      <c r="G197" s="4" t="inlineStr">
        <is>
          <t>100m Kelebek</t>
        </is>
      </c>
      <c r="H197" s="4" t="inlineStr">
        <is>
          <t>1:05.28</t>
        </is>
      </c>
      <c r="I197" s="4" t="inlineStr">
        <is>
          <t>200m Karışık</t>
        </is>
      </c>
      <c r="J197" s="4" t="inlineStr">
        <is>
          <t>2:28.43</t>
        </is>
      </c>
      <c r="K197" s="4" t="inlineStr">
        <is>
          <t>200m Kelebek</t>
        </is>
      </c>
      <c r="L197" s="4" t="inlineStr">
        <is>
          <t>2:20.57</t>
        </is>
      </c>
      <c r="M197" s="4" t="inlineStr">
        <is>
          <t>400m Karışık</t>
        </is>
      </c>
      <c r="N197" s="4" t="inlineStr">
        <is>
          <t>5:08.67</t>
        </is>
      </c>
      <c r="P197" s="6" t="inlineStr">
        <is>
          <t>Fenerbahçe Spor Kulübü</t>
        </is>
      </c>
      <c r="Q197" s="6" t="inlineStr">
        <is>
          <t>İstanbul</t>
        </is>
      </c>
      <c r="R197">
        <f>Q197=B197</f>
        <v/>
      </c>
      <c r="T197">
        <f>MATCH(D197,[1]Manual!$A:$A,0)</f>
        <v/>
      </c>
    </row>
    <row r="198" ht="15.95" customHeight="1">
      <c r="A198" s="2" t="n">
        <v>197</v>
      </c>
      <c r="B198" s="2" t="inlineStr">
        <is>
          <t>İstanbul</t>
        </is>
      </c>
      <c r="C198" s="3" t="inlineStr">
        <is>
          <t>Bayan</t>
        </is>
      </c>
      <c r="D198" s="3" t="inlineStr">
        <is>
          <t>Jasmin ARSLAN</t>
        </is>
      </c>
      <c r="E198" s="2" t="inlineStr">
        <is>
          <t>12</t>
        </is>
      </c>
      <c r="F198" s="2" t="inlineStr">
        <is>
          <t>65524371257</t>
        </is>
      </c>
      <c r="G198" s="2" t="inlineStr">
        <is>
          <t>50m Serbest</t>
        </is>
      </c>
      <c r="H198" s="2" t="inlineStr">
        <is>
          <t>27.66</t>
        </is>
      </c>
      <c r="I198" s="2" t="inlineStr">
        <is>
          <t>100m Sırtüstü</t>
        </is>
      </c>
      <c r="J198" s="2" t="inlineStr">
        <is>
          <t>1:07.66</t>
        </is>
      </c>
      <c r="K198" s="2" t="inlineStr">
        <is>
          <t>50m Sırtüstü</t>
        </is>
      </c>
      <c r="L198" s="2" t="inlineStr">
        <is>
          <t>30.93</t>
        </is>
      </c>
      <c r="M198" s="2" t="inlineStr">
        <is>
          <t>50m Kelebek</t>
        </is>
      </c>
      <c r="N198" s="2" t="inlineStr">
        <is>
          <t>30.40</t>
        </is>
      </c>
      <c r="P198" t="inlineStr">
        <is>
          <t>İstek Spor Kulübü</t>
        </is>
      </c>
      <c r="Q198" t="inlineStr">
        <is>
          <t>İstanbul</t>
        </is>
      </c>
      <c r="R198">
        <f>Q198=B198</f>
        <v/>
      </c>
      <c r="T198">
        <f>MATCH(D198,[1]Manual!$A:$A,0)</f>
        <v/>
      </c>
    </row>
    <row r="199" ht="15.95" customHeight="1">
      <c r="A199" s="4" t="n">
        <v>198</v>
      </c>
      <c r="B199" s="4" t="inlineStr">
        <is>
          <t>İstanbul</t>
        </is>
      </c>
      <c r="C199" s="5" t="inlineStr">
        <is>
          <t>Bayan</t>
        </is>
      </c>
      <c r="D199" s="5" t="inlineStr">
        <is>
          <t>Lina Deniz OĞUZHAN</t>
        </is>
      </c>
      <c r="E199" s="4" t="inlineStr">
        <is>
          <t>10</t>
        </is>
      </c>
      <c r="F199" s="4" t="inlineStr">
        <is>
          <t>65779357619</t>
        </is>
      </c>
      <c r="G199" s="4" t="inlineStr">
        <is>
          <t>100m Serbest</t>
        </is>
      </c>
      <c r="H199" s="4" t="inlineStr">
        <is>
          <t>59.91</t>
        </is>
      </c>
      <c r="I199" s="4" t="inlineStr">
        <is>
          <t>100m Sırtüstü</t>
        </is>
      </c>
      <c r="J199" s="4" t="inlineStr">
        <is>
          <t>1:05.30</t>
        </is>
      </c>
      <c r="K199" s="4" t="inlineStr">
        <is>
          <t>50m Sırtüstü</t>
        </is>
      </c>
      <c r="L199" s="4" t="inlineStr">
        <is>
          <t>31.31</t>
        </is>
      </c>
      <c r="M199" s="4" t="inlineStr">
        <is>
          <t>200m Sırtüstü</t>
        </is>
      </c>
      <c r="N199" s="4" t="inlineStr">
        <is>
          <t>2:20.49</t>
        </is>
      </c>
      <c r="P199" s="6" t="inlineStr">
        <is>
          <t>Galatasaray Spor Kulübü</t>
        </is>
      </c>
      <c r="Q199" s="6" t="inlineStr">
        <is>
          <t>İstanbul</t>
        </is>
      </c>
      <c r="R199">
        <f>Q199=B199</f>
        <v/>
      </c>
      <c r="T199">
        <f>MATCH(D199,[1]Manual!$A:$A,0)</f>
        <v/>
      </c>
    </row>
    <row r="200" ht="15.95" customHeight="1">
      <c r="A200" s="2" t="n">
        <v>199</v>
      </c>
      <c r="B200" s="2" t="inlineStr">
        <is>
          <t>İstanbul</t>
        </is>
      </c>
      <c r="C200" s="3" t="inlineStr">
        <is>
          <t>Bayan</t>
        </is>
      </c>
      <c r="D200" s="3" t="inlineStr">
        <is>
          <t>Mira TUFAN</t>
        </is>
      </c>
      <c r="E200" s="2" t="inlineStr">
        <is>
          <t>14</t>
        </is>
      </c>
      <c r="F200" s="2" t="inlineStr">
        <is>
          <t>52555805413</t>
        </is>
      </c>
      <c r="G200" s="2" t="inlineStr">
        <is>
          <t>100m Kelebek</t>
        </is>
      </c>
      <c r="H200" s="2" t="inlineStr">
        <is>
          <t>1:09.24</t>
        </is>
      </c>
      <c r="I200" s="2" t="inlineStr">
        <is>
          <t>200m Karışık</t>
        </is>
      </c>
      <c r="J200" s="2" t="inlineStr">
        <is>
          <t>2:37.82</t>
        </is>
      </c>
      <c r="K200" s="2" t="inlineStr">
        <is>
          <t>200m Kelebek</t>
        </is>
      </c>
      <c r="L200" s="2" t="inlineStr">
        <is>
          <t>2:46.41</t>
        </is>
      </c>
      <c r="M200" s="2" t="inlineStr">
        <is>
          <t>400m Karışık</t>
        </is>
      </c>
      <c r="N200" s="2" t="inlineStr">
        <is>
          <t>NT</t>
        </is>
      </c>
      <c r="P200" t="inlineStr">
        <is>
          <t>Enka Spor Kulübü</t>
        </is>
      </c>
      <c r="Q200" t="inlineStr">
        <is>
          <t>İstanbul</t>
        </is>
      </c>
      <c r="R200">
        <f>Q200=B200</f>
        <v/>
      </c>
      <c r="T200">
        <f>MATCH(D200,[1]Manual!$A:$A,0)</f>
        <v/>
      </c>
    </row>
    <row r="201" ht="15.95" customHeight="1">
      <c r="A201" s="4" t="n">
        <v>200</v>
      </c>
      <c r="B201" s="4" t="inlineStr">
        <is>
          <t>İstanbul</t>
        </is>
      </c>
      <c r="C201" s="5" t="inlineStr">
        <is>
          <t>Bayan</t>
        </is>
      </c>
      <c r="D201" s="5" t="inlineStr">
        <is>
          <t>Nil ÖZGE</t>
        </is>
      </c>
      <c r="E201" s="4" t="inlineStr">
        <is>
          <t>14</t>
        </is>
      </c>
      <c r="F201" s="4" t="inlineStr">
        <is>
          <t>46204372844</t>
        </is>
      </c>
      <c r="G201" s="4" t="inlineStr">
        <is>
          <t>400m Serbest</t>
        </is>
      </c>
      <c r="H201" s="4" t="inlineStr">
        <is>
          <t>4:59.60</t>
        </is>
      </c>
      <c r="I201" s="4" t="inlineStr">
        <is>
          <t>200m Kurbağalama</t>
        </is>
      </c>
      <c r="J201" s="4" t="inlineStr">
        <is>
          <t>3:03.07</t>
        </is>
      </c>
      <c r="K201" s="4" t="inlineStr">
        <is>
          <t>100m Kurbağalama</t>
        </is>
      </c>
      <c r="L201" s="4" t="inlineStr">
        <is>
          <t>1:23.71</t>
        </is>
      </c>
      <c r="M201" s="4" t="inlineStr">
        <is>
          <t>200m Karışık</t>
        </is>
      </c>
      <c r="N201" s="4" t="inlineStr">
        <is>
          <t>2:43.76</t>
        </is>
      </c>
      <c r="P201" t="inlineStr">
        <is>
          <t>Enka Spor Kulübü</t>
        </is>
      </c>
      <c r="Q201" t="inlineStr">
        <is>
          <t>İstanbul</t>
        </is>
      </c>
      <c r="R201">
        <f>Q201=B201</f>
        <v/>
      </c>
      <c r="T201">
        <f>MATCH(D201,[1]Manual!$A:$A,0)</f>
        <v/>
      </c>
    </row>
    <row r="202" ht="15.95" customHeight="1">
      <c r="A202" s="2" t="n">
        <v>201</v>
      </c>
      <c r="B202" s="2" t="inlineStr">
        <is>
          <t>İstanbul</t>
        </is>
      </c>
      <c r="C202" s="3" t="inlineStr">
        <is>
          <t>Bayan</t>
        </is>
      </c>
      <c r="D202" s="3" t="inlineStr">
        <is>
          <t>Su YÜKSEL</t>
        </is>
      </c>
      <c r="E202" s="2" t="inlineStr">
        <is>
          <t>10</t>
        </is>
      </c>
      <c r="F202" s="2" t="inlineStr">
        <is>
          <t>18809923652</t>
        </is>
      </c>
      <c r="G202" s="2" t="inlineStr">
        <is>
          <t>50m Kurbağalama</t>
        </is>
      </c>
      <c r="H202" s="2" t="inlineStr">
        <is>
          <t>32.95</t>
        </is>
      </c>
      <c r="I202" s="2" t="inlineStr">
        <is>
          <t>200m Kurbağalama</t>
        </is>
      </c>
      <c r="J202" s="2" t="inlineStr">
        <is>
          <t>2:33.81</t>
        </is>
      </c>
      <c r="K202" s="2" t="inlineStr">
        <is>
          <t>100m Kurbağalama</t>
        </is>
      </c>
      <c r="L202" s="2" t="inlineStr">
        <is>
          <t>1:10.77</t>
        </is>
      </c>
      <c r="M202" s="2" t="inlineStr">
        <is>
          <t>400m Karışık</t>
        </is>
      </c>
      <c r="N202" s="2" t="inlineStr">
        <is>
          <t>4:55.94</t>
        </is>
      </c>
      <c r="P202" s="6" t="inlineStr">
        <is>
          <t>Galatasaray Spor Kulübü</t>
        </is>
      </c>
      <c r="Q202" s="6" t="inlineStr">
        <is>
          <t>İstanbul</t>
        </is>
      </c>
      <c r="R202">
        <f>Q202=B202</f>
        <v/>
      </c>
      <c r="T202">
        <f>MATCH(D202,[1]Manual!$A:$A,0)</f>
        <v/>
      </c>
    </row>
    <row r="203" ht="15.95" customHeight="1">
      <c r="A203" s="4" t="n">
        <v>202</v>
      </c>
      <c r="B203" s="4" t="inlineStr">
        <is>
          <t>İstanbul</t>
        </is>
      </c>
      <c r="C203" s="5" t="inlineStr">
        <is>
          <t>Bayan</t>
        </is>
      </c>
      <c r="D203" s="5" t="inlineStr">
        <is>
          <t>Tuana YİRİK</t>
        </is>
      </c>
      <c r="E203" s="4" t="inlineStr">
        <is>
          <t>14</t>
        </is>
      </c>
      <c r="F203" s="4" t="inlineStr">
        <is>
          <t>38956632414</t>
        </is>
      </c>
      <c r="G203" s="4" t="inlineStr">
        <is>
          <t>100m Serbest</t>
        </is>
      </c>
      <c r="H203" s="4" t="inlineStr">
        <is>
          <t>1:03.10</t>
        </is>
      </c>
      <c r="I203" s="4" t="inlineStr">
        <is>
          <t>100m Sırtüstü</t>
        </is>
      </c>
      <c r="J203" s="4" t="inlineStr">
        <is>
          <t>1:13.14</t>
        </is>
      </c>
      <c r="K203" s="4" t="inlineStr">
        <is>
          <t>200m Serbest</t>
        </is>
      </c>
      <c r="L203" s="4" t="inlineStr">
        <is>
          <t>2:18.60</t>
        </is>
      </c>
      <c r="M203" s="4" t="inlineStr">
        <is>
          <t>200m Sırtüstü</t>
        </is>
      </c>
      <c r="N203" s="4" t="inlineStr">
        <is>
          <t>2:48.20</t>
        </is>
      </c>
      <c r="P203" t="inlineStr">
        <is>
          <t>Enka Spor Kulübü</t>
        </is>
      </c>
      <c r="Q203" t="inlineStr">
        <is>
          <t>İstanbul</t>
        </is>
      </c>
      <c r="R203">
        <f>Q203=B203</f>
        <v/>
      </c>
      <c r="T203">
        <f>MATCH(D203,[1]Manual!$A:$A,0)</f>
        <v/>
      </c>
    </row>
    <row r="204" ht="15.95" customHeight="1">
      <c r="A204" s="2" t="n">
        <v>203</v>
      </c>
      <c r="B204" s="2" t="inlineStr">
        <is>
          <t>İstanbul</t>
        </is>
      </c>
      <c r="C204" s="3" t="inlineStr">
        <is>
          <t>Bayan</t>
        </is>
      </c>
      <c r="D204" s="3" t="inlineStr">
        <is>
          <t>Tuğba YILDIZ</t>
        </is>
      </c>
      <c r="E204" s="2" t="inlineStr">
        <is>
          <t>12</t>
        </is>
      </c>
      <c r="F204" s="2" t="inlineStr">
        <is>
          <t>19069371284</t>
        </is>
      </c>
      <c r="G204" s="2" t="inlineStr">
        <is>
          <t>800m Serbest</t>
        </is>
      </c>
      <c r="H204" s="2" t="inlineStr">
        <is>
          <t>8:56.20</t>
        </is>
      </c>
      <c r="I204" s="2" t="inlineStr">
        <is>
          <t>200m Karışık</t>
        </is>
      </c>
      <c r="J204" s="2" t="inlineStr">
        <is>
          <t>2:29.69</t>
        </is>
      </c>
      <c r="K204" s="2" t="inlineStr">
        <is>
          <t>1500m Serbest</t>
        </is>
      </c>
      <c r="L204" s="2" t="inlineStr">
        <is>
          <t>17:06.67</t>
        </is>
      </c>
      <c r="M204" s="2" t="inlineStr">
        <is>
          <t>400m Karışık</t>
        </is>
      </c>
      <c r="N204" s="2" t="inlineStr">
        <is>
          <t>5:13.13</t>
        </is>
      </c>
      <c r="P204" t="inlineStr">
        <is>
          <t>Galatasaray Spor Kulübü</t>
        </is>
      </c>
      <c r="Q204" t="inlineStr">
        <is>
          <t>İstanbul</t>
        </is>
      </c>
      <c r="R204">
        <f>Q204=B204</f>
        <v/>
      </c>
      <c r="T204">
        <f>MATCH(D204,[1]Manual!$A:$A,0)</f>
        <v/>
      </c>
    </row>
    <row r="205" ht="15.95" customHeight="1">
      <c r="A205" s="4" t="n">
        <v>204</v>
      </c>
      <c r="B205" s="4" t="inlineStr">
        <is>
          <t>İzmir</t>
        </is>
      </c>
      <c r="C205" s="5" t="inlineStr">
        <is>
          <t>Erkek</t>
        </is>
      </c>
      <c r="D205" s="5" t="inlineStr">
        <is>
          <t>Ali Kaan KARAMAN</t>
        </is>
      </c>
      <c r="E205" s="4" t="inlineStr">
        <is>
          <t>12</t>
        </is>
      </c>
      <c r="F205" s="4" t="inlineStr">
        <is>
          <t>45250398753</t>
        </is>
      </c>
      <c r="G205" s="4" t="inlineStr">
        <is>
          <t>50m Serbest</t>
        </is>
      </c>
      <c r="H205" s="4" t="inlineStr">
        <is>
          <t>27.67</t>
        </is>
      </c>
      <c r="I205" s="4" t="inlineStr">
        <is>
          <t>200m Serbest</t>
        </is>
      </c>
      <c r="J205" s="4" t="inlineStr">
        <is>
          <t>2:05.74</t>
        </is>
      </c>
      <c r="K205" s="4" t="inlineStr">
        <is>
          <t>100m Serbest</t>
        </is>
      </c>
      <c r="L205" s="4" t="inlineStr">
        <is>
          <t>57.38</t>
        </is>
      </c>
      <c r="M205" s="4" t="inlineStr">
        <is>
          <t>400m Serbest</t>
        </is>
      </c>
      <c r="N205" s="4" t="inlineStr">
        <is>
          <t>5:26.13</t>
        </is>
      </c>
      <c r="P205" t="inlineStr">
        <is>
          <t>Atletico Spor Kulübü</t>
        </is>
      </c>
      <c r="Q205" t="inlineStr">
        <is>
          <t>İzmir</t>
        </is>
      </c>
      <c r="R205">
        <f>Q205=B205</f>
        <v/>
      </c>
      <c r="T205">
        <f>MATCH(D205,[1]Manual!$A:$A,0)</f>
        <v/>
      </c>
    </row>
    <row r="206" ht="15.95" customHeight="1">
      <c r="A206" s="2" t="n">
        <v>205</v>
      </c>
      <c r="B206" s="2" t="inlineStr">
        <is>
          <t>İzmir</t>
        </is>
      </c>
      <c r="C206" s="3" t="inlineStr">
        <is>
          <t>Erkek</t>
        </is>
      </c>
      <c r="D206" s="3" t="inlineStr">
        <is>
          <t>Arda KAFADAR</t>
        </is>
      </c>
      <c r="E206" s="2" t="inlineStr">
        <is>
          <t>10</t>
        </is>
      </c>
      <c r="F206" s="2" t="inlineStr">
        <is>
          <t>35332569852</t>
        </is>
      </c>
      <c r="G206" s="2" t="inlineStr">
        <is>
          <t>50m Kurbağalama</t>
        </is>
      </c>
      <c r="H206" s="2" t="inlineStr">
        <is>
          <t>31.99</t>
        </is>
      </c>
      <c r="I206" s="2" t="inlineStr">
        <is>
          <t>200m Kurbağalama</t>
        </is>
      </c>
      <c r="J206" s="2" t="inlineStr">
        <is>
          <t>2:31.29</t>
        </is>
      </c>
      <c r="K206" s="2" t="inlineStr">
        <is>
          <t>100m Kurbağalama</t>
        </is>
      </c>
      <c r="L206" s="2" t="inlineStr">
        <is>
          <t>1:10.35</t>
        </is>
      </c>
      <c r="M206" s="2" t="inlineStr">
        <is>
          <t>50m Kelebek</t>
        </is>
      </c>
      <c r="N206" s="2" t="inlineStr">
        <is>
          <t>29.15</t>
        </is>
      </c>
      <c r="P206" s="6" t="inlineStr">
        <is>
          <t>Rota Koleji Spor Kulübü Derneği</t>
        </is>
      </c>
      <c r="Q206" s="6" t="inlineStr">
        <is>
          <t>İzmir</t>
        </is>
      </c>
      <c r="R206">
        <f>Q206=B206</f>
        <v/>
      </c>
      <c r="T206">
        <f>MATCH(D206,[1]Manual!$A:$A,0)</f>
        <v/>
      </c>
    </row>
    <row r="207" ht="15.95" customHeight="1">
      <c r="A207" s="4" t="n">
        <v>206</v>
      </c>
      <c r="B207" s="4" t="inlineStr">
        <is>
          <t>İzmir</t>
        </is>
      </c>
      <c r="C207" s="5" t="inlineStr">
        <is>
          <t>Erkek</t>
        </is>
      </c>
      <c r="D207" s="5" t="inlineStr">
        <is>
          <t>Arjin KARAMAN</t>
        </is>
      </c>
      <c r="E207" s="4" t="inlineStr">
        <is>
          <t>14</t>
        </is>
      </c>
      <c r="F207" s="4" t="inlineStr">
        <is>
          <t>46942178714</t>
        </is>
      </c>
      <c r="G207" s="4" t="inlineStr">
        <is>
          <t>100m Sırtüstü</t>
        </is>
      </c>
      <c r="H207" s="4" t="inlineStr">
        <is>
          <t>1:18.34</t>
        </is>
      </c>
      <c r="I207" s="4" t="inlineStr">
        <is>
          <t>200m Karışık</t>
        </is>
      </c>
      <c r="J207" s="4" t="inlineStr">
        <is>
          <t>2:43.77</t>
        </is>
      </c>
      <c r="K207" s="4" t="inlineStr">
        <is>
          <t>200m Sırtüstü</t>
        </is>
      </c>
      <c r="L207" s="4" t="inlineStr">
        <is>
          <t>2:42.32</t>
        </is>
      </c>
      <c r="M207" s="4" t="inlineStr">
        <is>
          <t>400m Karışık</t>
        </is>
      </c>
      <c r="N207" s="4" t="inlineStr">
        <is>
          <t>NT</t>
        </is>
      </c>
      <c r="P207" s="12" t="inlineStr">
        <is>
          <t>Göztepe Spor Kulübü</t>
        </is>
      </c>
      <c r="Q207" t="inlineStr">
        <is>
          <t>İzmir</t>
        </is>
      </c>
      <c r="R207">
        <f>Q207=B207</f>
        <v/>
      </c>
      <c r="T207">
        <f>MATCH(D207,[1]Manual!$A:$A,0)</f>
        <v/>
      </c>
    </row>
    <row r="208" ht="15.95" customHeight="1">
      <c r="A208" s="2" t="n">
        <v>207</v>
      </c>
      <c r="B208" s="2" t="inlineStr">
        <is>
          <t>İzmir</t>
        </is>
      </c>
      <c r="C208" s="3" t="inlineStr">
        <is>
          <t>Erkek</t>
        </is>
      </c>
      <c r="D208" s="3" t="inlineStr">
        <is>
          <t>Ata SARIKAYA</t>
        </is>
      </c>
      <c r="E208" s="2" t="inlineStr">
        <is>
          <t>09</t>
        </is>
      </c>
      <c r="F208" s="2" t="inlineStr">
        <is>
          <t>36214737110</t>
        </is>
      </c>
      <c r="G208" s="2" t="inlineStr">
        <is>
          <t>100m Serbest</t>
        </is>
      </c>
      <c r="H208" s="2" t="inlineStr">
        <is>
          <t>52.88</t>
        </is>
      </c>
      <c r="I208" s="2" t="inlineStr">
        <is>
          <t>100m Sırtüstü</t>
        </is>
      </c>
      <c r="J208" s="2" t="inlineStr">
        <is>
          <t>58.49</t>
        </is>
      </c>
      <c r="K208" s="2" t="inlineStr">
        <is>
          <t>400m Serbest</t>
        </is>
      </c>
      <c r="L208" s="2" t="inlineStr">
        <is>
          <t>4:13.50</t>
        </is>
      </c>
      <c r="M208" s="2" t="inlineStr">
        <is>
          <t>200m Sırtüstü</t>
        </is>
      </c>
      <c r="N208" s="2" t="inlineStr">
        <is>
          <t>2:04.95</t>
        </is>
      </c>
      <c r="P208" s="6" t="inlineStr">
        <is>
          <t>Göztepe Spor Kulübü</t>
        </is>
      </c>
      <c r="Q208" s="6" t="inlineStr">
        <is>
          <t>İzmir</t>
        </is>
      </c>
      <c r="R208">
        <f>Q208=B208</f>
        <v/>
      </c>
      <c r="T208">
        <f>MATCH(D208,[1]Manual!$A:$A,0)</f>
        <v/>
      </c>
    </row>
    <row r="209" ht="15.95" customHeight="1">
      <c r="A209" s="4" t="n">
        <v>208</v>
      </c>
      <c r="B209" s="4" t="inlineStr">
        <is>
          <t>İzmir</t>
        </is>
      </c>
      <c r="C209" s="5" t="inlineStr">
        <is>
          <t>Erkek</t>
        </is>
      </c>
      <c r="D209" s="5" t="inlineStr">
        <is>
          <t>Baturalp ŞANLI</t>
        </is>
      </c>
      <c r="E209" s="4" t="inlineStr">
        <is>
          <t>14</t>
        </is>
      </c>
      <c r="F209" s="4" t="inlineStr">
        <is>
          <t>19628290540</t>
        </is>
      </c>
      <c r="G209" s="4" t="inlineStr">
        <is>
          <t>400m Serbest</t>
        </is>
      </c>
      <c r="H209" s="4" t="inlineStr">
        <is>
          <t>5:14.84</t>
        </is>
      </c>
      <c r="I209" s="4" t="inlineStr">
        <is>
          <t>100m Kelebek</t>
        </is>
      </c>
      <c r="J209" s="4" t="inlineStr">
        <is>
          <t>1:13.02</t>
        </is>
      </c>
      <c r="K209" s="4" t="inlineStr">
        <is>
          <t>800m Serbest</t>
        </is>
      </c>
      <c r="L209" s="4" t="inlineStr">
        <is>
          <t>10:58.63</t>
        </is>
      </c>
      <c r="M209" s="4" t="inlineStr">
        <is>
          <t>200m Kelebek</t>
        </is>
      </c>
      <c r="N209" s="4" t="inlineStr">
        <is>
          <t>2:50.01</t>
        </is>
      </c>
      <c r="P209" t="inlineStr">
        <is>
          <t>Izmir Yüzme İhtisas Ve Su Sporları Spor Kulübü</t>
        </is>
      </c>
      <c r="Q209" t="inlineStr">
        <is>
          <t>İzmir</t>
        </is>
      </c>
      <c r="R209">
        <f>Q209=B209</f>
        <v/>
      </c>
      <c r="T209">
        <f>MATCH(D209,[1]Manual!$A:$A,0)</f>
        <v/>
      </c>
    </row>
    <row r="210" ht="15.95" customHeight="1">
      <c r="A210" s="2" t="n">
        <v>209</v>
      </c>
      <c r="B210" s="2" t="inlineStr">
        <is>
          <t>İzmir</t>
        </is>
      </c>
      <c r="C210" s="3" t="inlineStr">
        <is>
          <t>Erkek</t>
        </is>
      </c>
      <c r="D210" s="3" t="inlineStr">
        <is>
          <t>Can BAL</t>
        </is>
      </c>
      <c r="E210" s="2" t="inlineStr">
        <is>
          <t>14</t>
        </is>
      </c>
      <c r="F210" s="2" t="inlineStr">
        <is>
          <t>15307367325</t>
        </is>
      </c>
      <c r="G210" s="2" t="inlineStr">
        <is>
          <t>200m Serbest</t>
        </is>
      </c>
      <c r="H210" s="2" t="inlineStr">
        <is>
          <t>2:34.02</t>
        </is>
      </c>
      <c r="I210" s="2" t="inlineStr">
        <is>
          <t>200m Kelebek</t>
        </is>
      </c>
      <c r="J210" s="2" t="inlineStr">
        <is>
          <t>NT</t>
        </is>
      </c>
      <c r="K210" s="2" t="inlineStr">
        <is>
          <t>100m Kelebek</t>
        </is>
      </c>
      <c r="L210" s="2" t="inlineStr">
        <is>
          <t>1:12.18</t>
        </is>
      </c>
      <c r="M210" s="2" t="inlineStr">
        <is>
          <t>200m Karışık</t>
        </is>
      </c>
      <c r="N210" s="2" t="inlineStr">
        <is>
          <t>2:50.30</t>
        </is>
      </c>
      <c r="P210" t="inlineStr">
        <is>
          <t>Dokuz Eylül Üniversitesi Spor Kulübü</t>
        </is>
      </c>
      <c r="Q210" t="inlineStr">
        <is>
          <t>İzmir</t>
        </is>
      </c>
      <c r="R210">
        <f>Q210=B210</f>
        <v/>
      </c>
      <c r="T210">
        <f>MATCH(D210,[1]Manual!$A:$A,0)</f>
        <v/>
      </c>
    </row>
    <row r="211" ht="15.95" customHeight="1">
      <c r="A211" s="4" t="n">
        <v>210</v>
      </c>
      <c r="B211" s="4" t="inlineStr">
        <is>
          <t>İzmir</t>
        </is>
      </c>
      <c r="C211" s="5" t="inlineStr">
        <is>
          <t>Erkek</t>
        </is>
      </c>
      <c r="D211" s="5" t="inlineStr">
        <is>
          <t>Can VECAN</t>
        </is>
      </c>
      <c r="E211" s="4" t="inlineStr">
        <is>
          <t>14</t>
        </is>
      </c>
      <c r="F211" s="4" t="inlineStr">
        <is>
          <t>54718118819</t>
        </is>
      </c>
      <c r="G211" s="4" t="inlineStr">
        <is>
          <t>1500m Serbest</t>
        </is>
      </c>
      <c r="H211" s="4" t="inlineStr">
        <is>
          <t>NT</t>
        </is>
      </c>
      <c r="I211" s="4" t="inlineStr">
        <is>
          <t>200m Karışık</t>
        </is>
      </c>
      <c r="J211" s="4" t="inlineStr">
        <is>
          <t>2:45.55</t>
        </is>
      </c>
      <c r="K211" s="4" t="inlineStr">
        <is>
          <t>200m Sırtüstü</t>
        </is>
      </c>
      <c r="L211" s="4" t="inlineStr">
        <is>
          <t>2:41.89</t>
        </is>
      </c>
      <c r="M211" s="4" t="inlineStr">
        <is>
          <t>400m Karışık</t>
        </is>
      </c>
      <c r="N211" s="4" t="inlineStr">
        <is>
          <t>NT</t>
        </is>
      </c>
      <c r="P211" s="12" t="inlineStr">
        <is>
          <t>Göztepe Spor Kulübü</t>
        </is>
      </c>
      <c r="Q211" t="inlineStr">
        <is>
          <t>İzmir</t>
        </is>
      </c>
      <c r="R211">
        <f>Q211=B211</f>
        <v/>
      </c>
      <c r="T211">
        <f>MATCH(D211,[1]Manual!$A:$A,0)</f>
        <v/>
      </c>
    </row>
    <row r="212" ht="15.95" customHeight="1">
      <c r="A212" s="2" t="n">
        <v>211</v>
      </c>
      <c r="B212" s="11" t="inlineStr">
        <is>
          <t>İzmir</t>
        </is>
      </c>
      <c r="C212" s="3" t="inlineStr">
        <is>
          <t>Erkek</t>
        </is>
      </c>
      <c r="D212" s="3" t="inlineStr">
        <is>
          <t>Demir DEMİRCİGİL</t>
        </is>
      </c>
      <c r="E212" s="2" t="inlineStr">
        <is>
          <t>14</t>
        </is>
      </c>
      <c r="F212" s="2" t="inlineStr">
        <is>
          <t>16235206982</t>
        </is>
      </c>
      <c r="G212" s="2" t="inlineStr">
        <is>
          <t>800m Serbest</t>
        </is>
      </c>
      <c r="H212" s="2" t="inlineStr">
        <is>
          <t>10:37.45</t>
        </is>
      </c>
      <c r="I212" s="2" t="inlineStr">
        <is>
          <t>200m Kelebek</t>
        </is>
      </c>
      <c r="J212" s="2" t="inlineStr">
        <is>
          <t>2:53.05</t>
        </is>
      </c>
      <c r="K212" s="2" t="inlineStr">
        <is>
          <t>1500m Serbest</t>
        </is>
      </c>
      <c r="L212" s="2" t="inlineStr">
        <is>
          <t>21:34.28</t>
        </is>
      </c>
      <c r="M212" s="2" t="inlineStr">
        <is>
          <t>400m Karışık</t>
        </is>
      </c>
      <c r="N212" s="2" t="inlineStr">
        <is>
          <t>5:51.23</t>
        </is>
      </c>
      <c r="P212" t="inlineStr">
        <is>
          <t>Ege Ocean Yüzme İhtisas Spor Kulübü</t>
        </is>
      </c>
      <c r="Q212" s="10" t="inlineStr">
        <is>
          <t>İzmir</t>
        </is>
      </c>
      <c r="R212">
        <f>Q212=B212</f>
        <v/>
      </c>
      <c r="S212" t="inlineStr">
        <is>
          <t>2014'lü İzmir Ege Ocean</t>
        </is>
      </c>
      <c r="T212">
        <f>MATCH(D212,[1]Manual!$A:$A,0)</f>
        <v/>
      </c>
    </row>
    <row r="213" ht="15.95" customHeight="1">
      <c r="A213" s="4" t="n">
        <v>212</v>
      </c>
      <c r="B213" s="4" t="inlineStr">
        <is>
          <t>İzmir</t>
        </is>
      </c>
      <c r="C213" s="5" t="inlineStr">
        <is>
          <t>Erkek</t>
        </is>
      </c>
      <c r="D213" s="5" t="inlineStr">
        <is>
          <t>Ege Kandemir</t>
        </is>
      </c>
      <c r="E213" s="4" t="inlineStr">
        <is>
          <t>12</t>
        </is>
      </c>
      <c r="F213" s="4" t="inlineStr">
        <is>
          <t>36607704811</t>
        </is>
      </c>
      <c r="G213" s="4" t="inlineStr">
        <is>
          <t>100m Serbest</t>
        </is>
      </c>
      <c r="H213" s="4" t="inlineStr">
        <is>
          <t>1:02.12</t>
        </is>
      </c>
      <c r="I213" s="4" t="inlineStr">
        <is>
          <t>200m Kelebek</t>
        </is>
      </c>
      <c r="J213" s="4" t="inlineStr">
        <is>
          <t>2:22.37</t>
        </is>
      </c>
      <c r="K213" s="4" t="inlineStr">
        <is>
          <t>100m Kelebek</t>
        </is>
      </c>
      <c r="L213" s="4" t="inlineStr">
        <is>
          <t>1:04.67</t>
        </is>
      </c>
      <c r="M213" s="4" t="inlineStr">
        <is>
          <t>200m Karışık</t>
        </is>
      </c>
      <c r="N213" s="4" t="inlineStr">
        <is>
          <t>2:35.32</t>
        </is>
      </c>
      <c r="P213" t="inlineStr">
        <is>
          <t>Izmir Yüzme İhtisas Ve Su Sporları Spor Kulübü</t>
        </is>
      </c>
      <c r="Q213" t="inlineStr">
        <is>
          <t>İzmir</t>
        </is>
      </c>
      <c r="R213">
        <f>Q213=B213</f>
        <v/>
      </c>
      <c r="T213">
        <f>MATCH(D213,[1]Manual!$A:$A,0)</f>
        <v/>
      </c>
    </row>
    <row r="214" ht="15.95" customHeight="1">
      <c r="A214" s="2" t="n">
        <v>213</v>
      </c>
      <c r="B214" s="2" t="inlineStr">
        <is>
          <t>İzmir</t>
        </is>
      </c>
      <c r="C214" s="3" t="inlineStr">
        <is>
          <t>Erkek</t>
        </is>
      </c>
      <c r="D214" s="3" t="inlineStr">
        <is>
          <t>Feridun Toprak ERÇORA</t>
        </is>
      </c>
      <c r="E214" s="2" t="inlineStr">
        <is>
          <t>14</t>
        </is>
      </c>
      <c r="F214" s="2" t="inlineStr">
        <is>
          <t>45778417629</t>
        </is>
      </c>
      <c r="G214" s="2" t="inlineStr">
        <is>
          <t>200m Serbest</t>
        </is>
      </c>
      <c r="H214" s="2" t="inlineStr">
        <is>
          <t>2:23.63</t>
        </is>
      </c>
      <c r="I214" s="2" t="inlineStr">
        <is>
          <t>200m Sırtüstü</t>
        </is>
      </c>
      <c r="J214" s="2" t="inlineStr">
        <is>
          <t>3:00.11</t>
        </is>
      </c>
      <c r="K214" s="2" t="inlineStr">
        <is>
          <t>100m Sırtüstü</t>
        </is>
      </c>
      <c r="L214" s="2" t="inlineStr">
        <is>
          <t>1:20.83</t>
        </is>
      </c>
      <c r="M214" s="2" t="inlineStr">
        <is>
          <t>200m Kelebek</t>
        </is>
      </c>
      <c r="N214" s="2" t="inlineStr">
        <is>
          <t>2:55.74</t>
        </is>
      </c>
      <c r="P214" t="inlineStr">
        <is>
          <t>Dokuz Eylül Üniversitesi Spor Kulübü</t>
        </is>
      </c>
      <c r="Q214" t="inlineStr">
        <is>
          <t>İzmir</t>
        </is>
      </c>
      <c r="R214">
        <f>Q214=B214</f>
        <v/>
      </c>
      <c r="T214">
        <f>MATCH(D214,[1]Manual!$A:$A,0)</f>
        <v/>
      </c>
    </row>
    <row r="215" ht="15.95" customHeight="1">
      <c r="A215" s="4" t="n">
        <v>214</v>
      </c>
      <c r="B215" s="4" t="inlineStr">
        <is>
          <t>İzmir</t>
        </is>
      </c>
      <c r="C215" s="5" t="inlineStr">
        <is>
          <t>Erkek</t>
        </is>
      </c>
      <c r="D215" s="5" t="inlineStr">
        <is>
          <t>Furkan Emir ABLAK</t>
        </is>
      </c>
      <c r="E215" s="4" t="inlineStr">
        <is>
          <t>12</t>
        </is>
      </c>
      <c r="F215" s="4" t="inlineStr">
        <is>
          <t>30103943958</t>
        </is>
      </c>
      <c r="G215" s="4" t="inlineStr">
        <is>
          <t>50m Serbest</t>
        </is>
      </c>
      <c r="H215" s="4" t="inlineStr">
        <is>
          <t>27.19</t>
        </is>
      </c>
      <c r="I215" s="4" t="inlineStr">
        <is>
          <t>100m Sırtüstü</t>
        </is>
      </c>
      <c r="J215" s="4" t="inlineStr">
        <is>
          <t>1:04.04</t>
        </is>
      </c>
      <c r="K215" s="4" t="inlineStr">
        <is>
          <t>50m Sırtüstü</t>
        </is>
      </c>
      <c r="L215" s="4" t="inlineStr">
        <is>
          <t>29.70</t>
        </is>
      </c>
      <c r="M215" s="4" t="inlineStr">
        <is>
          <t>200m Sırtüstü</t>
        </is>
      </c>
      <c r="N215" s="4" t="inlineStr">
        <is>
          <t>2:22.79</t>
        </is>
      </c>
      <c r="P215" t="inlineStr">
        <is>
          <t>Rota Koleji Spor Kulübü</t>
        </is>
      </c>
      <c r="Q215" t="inlineStr">
        <is>
          <t>İzmir</t>
        </is>
      </c>
      <c r="R215">
        <f>Q215=B215</f>
        <v/>
      </c>
      <c r="T215">
        <f>MATCH(D215,[1]Manual!$A:$A,0)</f>
        <v/>
      </c>
    </row>
    <row r="216" ht="15.95" customHeight="1">
      <c r="A216" s="2" t="n">
        <v>215</v>
      </c>
      <c r="B216" s="2" t="inlineStr">
        <is>
          <t>İzmir</t>
        </is>
      </c>
      <c r="C216" s="3" t="inlineStr">
        <is>
          <t>Erkek</t>
        </is>
      </c>
      <c r="D216" s="3" t="inlineStr">
        <is>
          <t>Ilkut Girayhan AKYÜZ</t>
        </is>
      </c>
      <c r="E216" s="2" t="inlineStr">
        <is>
          <t>12</t>
        </is>
      </c>
      <c r="F216" s="2" t="inlineStr">
        <is>
          <t>29911934256</t>
        </is>
      </c>
      <c r="G216" s="2" t="inlineStr">
        <is>
          <t>50m Serbest</t>
        </is>
      </c>
      <c r="H216" s="2" t="inlineStr">
        <is>
          <t>26.53</t>
        </is>
      </c>
      <c r="I216" s="2" t="inlineStr">
        <is>
          <t>50m Sırtüstü</t>
        </is>
      </c>
      <c r="J216" s="2" t="inlineStr">
        <is>
          <t>30.35</t>
        </is>
      </c>
      <c r="K216" s="2" t="inlineStr">
        <is>
          <t>100m Serbest</t>
        </is>
      </c>
      <c r="L216" s="2" t="inlineStr">
        <is>
          <t>57.12</t>
        </is>
      </c>
      <c r="M216" s="2" t="inlineStr">
        <is>
          <t>100m Sırtüstü</t>
        </is>
      </c>
      <c r="N216" s="2" t="inlineStr">
        <is>
          <t>1:04.68</t>
        </is>
      </c>
      <c r="P216" t="inlineStr">
        <is>
          <t>Atletico Spor Kulübü</t>
        </is>
      </c>
      <c r="Q216" t="inlineStr">
        <is>
          <t>İzmir</t>
        </is>
      </c>
      <c r="R216">
        <f>Q216=B216</f>
        <v/>
      </c>
      <c r="T216">
        <f>MATCH(D216,[1]Manual!$A:$A,0)</f>
        <v/>
      </c>
    </row>
    <row r="217" ht="15.95" customHeight="1">
      <c r="A217" s="4" t="n">
        <v>216</v>
      </c>
      <c r="B217" s="4" t="inlineStr">
        <is>
          <t>İzmir</t>
        </is>
      </c>
      <c r="C217" s="5" t="inlineStr">
        <is>
          <t>Erkek</t>
        </is>
      </c>
      <c r="D217" s="5" t="inlineStr">
        <is>
          <t>Kaan Tamer ŞENGÜL</t>
        </is>
      </c>
      <c r="E217" s="4" t="inlineStr">
        <is>
          <t>11</t>
        </is>
      </c>
      <c r="F217" s="4" t="inlineStr">
        <is>
          <t>28831786641</t>
        </is>
      </c>
      <c r="G217" s="4" t="inlineStr">
        <is>
          <t>400m Serbest</t>
        </is>
      </c>
      <c r="H217" s="4" t="inlineStr">
        <is>
          <t>4:11.56</t>
        </is>
      </c>
      <c r="I217" s="4" t="inlineStr">
        <is>
          <t>200m Kelebek</t>
        </is>
      </c>
      <c r="J217" s="4" t="inlineStr">
        <is>
          <t>2:09.73</t>
        </is>
      </c>
      <c r="K217" s="4" t="inlineStr">
        <is>
          <t>800m Serbest</t>
        </is>
      </c>
      <c r="L217" s="4" t="inlineStr">
        <is>
          <t>NT</t>
        </is>
      </c>
      <c r="M217" s="4" t="inlineStr">
        <is>
          <t>400m Karışık</t>
        </is>
      </c>
      <c r="N217" s="4" t="inlineStr">
        <is>
          <t>4:48.73</t>
        </is>
      </c>
      <c r="P217" s="12" t="inlineStr">
        <is>
          <t>Göztepe Spor Kulübü</t>
        </is>
      </c>
      <c r="Q217" t="inlineStr">
        <is>
          <t>İzmir</t>
        </is>
      </c>
      <c r="R217">
        <f>Q217=B217</f>
        <v/>
      </c>
      <c r="T217">
        <f>MATCH(D217,[1]Manual!$A:$A,0)</f>
        <v/>
      </c>
    </row>
    <row r="218" ht="15.95" customHeight="1">
      <c r="A218" s="2" t="n">
        <v>217</v>
      </c>
      <c r="B218" s="8" t="inlineStr">
        <is>
          <t>İzmir</t>
        </is>
      </c>
      <c r="C218" s="3" t="inlineStr">
        <is>
          <t>Erkek</t>
        </is>
      </c>
      <c r="D218" s="3" t="inlineStr">
        <is>
          <t>Kuzey ALEMDAĞ</t>
        </is>
      </c>
      <c r="E218" s="2" t="inlineStr">
        <is>
          <t>10</t>
        </is>
      </c>
      <c r="F218" s="2" t="inlineStr">
        <is>
          <t>38804103752</t>
        </is>
      </c>
      <c r="G218" s="2" t="inlineStr">
        <is>
          <t>50m Serbest</t>
        </is>
      </c>
      <c r="H218" s="2" t="inlineStr">
        <is>
          <t>25.01</t>
        </is>
      </c>
      <c r="I218" s="2" t="inlineStr">
        <is>
          <t>50m Kelebek</t>
        </is>
      </c>
      <c r="J218" s="2" t="inlineStr">
        <is>
          <t>26.23</t>
        </is>
      </c>
      <c r="K218" s="2" t="inlineStr">
        <is>
          <t>100m Serbest</t>
        </is>
      </c>
      <c r="L218" s="2" t="inlineStr">
        <is>
          <t>55.04</t>
        </is>
      </c>
      <c r="M218" s="2" t="inlineStr">
        <is>
          <t>100m Kelebek</t>
        </is>
      </c>
      <c r="N218" s="2" t="inlineStr">
        <is>
          <t>58.38</t>
        </is>
      </c>
      <c r="P218" s="12" t="inlineStr">
        <is>
          <t>Trabzon Yüzme Spor Kulübü</t>
        </is>
      </c>
      <c r="Q218" s="12" t="inlineStr">
        <is>
          <t>Trabzon</t>
        </is>
      </c>
      <c r="R218">
        <f>Q218=B218</f>
        <v/>
      </c>
      <c r="S218" s="9" t="inlineStr">
        <is>
          <t>Kulübü Trazbzon ama sem girişi İzmir, Start listesine bakarız</t>
        </is>
      </c>
      <c r="T218">
        <f>MATCH(D218,[1]Manual!$A:$A,0)</f>
        <v/>
      </c>
    </row>
    <row r="219" ht="15.95" customHeight="1">
      <c r="A219" s="4" t="n">
        <v>218</v>
      </c>
      <c r="B219" s="4" t="inlineStr">
        <is>
          <t>İzmir</t>
        </is>
      </c>
      <c r="C219" s="5" t="inlineStr">
        <is>
          <t>Erkek</t>
        </is>
      </c>
      <c r="D219" s="5" t="inlineStr">
        <is>
          <t>Pars IKİKARDAŞLAR</t>
        </is>
      </c>
      <c r="E219" s="4" t="inlineStr">
        <is>
          <t>12</t>
        </is>
      </c>
      <c r="F219" s="4" t="inlineStr">
        <is>
          <t>29803934759</t>
        </is>
      </c>
      <c r="G219" s="4" t="inlineStr">
        <is>
          <t>50m Serbest</t>
        </is>
      </c>
      <c r="H219" s="4" t="inlineStr">
        <is>
          <t>25.35</t>
        </is>
      </c>
      <c r="I219" s="4" t="inlineStr">
        <is>
          <t>100m Kurbağalama</t>
        </is>
      </c>
      <c r="J219" s="4" t="inlineStr">
        <is>
          <t>1:08.66</t>
        </is>
      </c>
      <c r="K219" s="4" t="inlineStr">
        <is>
          <t>50m Kurbağalama</t>
        </is>
      </c>
      <c r="L219" s="4" t="inlineStr">
        <is>
          <t>30.47</t>
        </is>
      </c>
      <c r="M219" s="4" t="inlineStr">
        <is>
          <t>200m Kurbağalama</t>
        </is>
      </c>
      <c r="N219" s="4" t="inlineStr">
        <is>
          <t>2:27.34</t>
        </is>
      </c>
      <c r="P219" t="inlineStr">
        <is>
          <t>Rota Koleji Spor Kulübü</t>
        </is>
      </c>
      <c r="Q219" t="inlineStr">
        <is>
          <t>İzmir</t>
        </is>
      </c>
      <c r="R219">
        <f>Q219=B219</f>
        <v/>
      </c>
      <c r="T219">
        <f>MATCH(D219,[1]Manual!$A:$A,0)</f>
        <v/>
      </c>
    </row>
    <row r="220" ht="15.95" customHeight="1">
      <c r="A220" s="2" t="n">
        <v>219</v>
      </c>
      <c r="B220" s="2" t="inlineStr">
        <is>
          <t>İzmir</t>
        </is>
      </c>
      <c r="C220" s="3" t="inlineStr">
        <is>
          <t>Erkek</t>
        </is>
      </c>
      <c r="D220" s="3" t="inlineStr">
        <is>
          <t>Rüzgar BAŞARICI</t>
        </is>
      </c>
      <c r="E220" s="2" t="inlineStr">
        <is>
          <t>14</t>
        </is>
      </c>
      <c r="F220" s="2" t="inlineStr">
        <is>
          <t>43136119543</t>
        </is>
      </c>
      <c r="G220" s="2" t="inlineStr">
        <is>
          <t>400m Serbest</t>
        </is>
      </c>
      <c r="H220" s="2" t="inlineStr">
        <is>
          <t>4:59.78</t>
        </is>
      </c>
      <c r="I220" s="2" t="inlineStr">
        <is>
          <t>1500m Serbest</t>
        </is>
      </c>
      <c r="J220" s="2" t="inlineStr">
        <is>
          <t>23:14.93</t>
        </is>
      </c>
      <c r="K220" s="2" t="inlineStr">
        <is>
          <t>800m Serbest</t>
        </is>
      </c>
      <c r="L220" s="2" t="inlineStr">
        <is>
          <t>12:01.37</t>
        </is>
      </c>
      <c r="M220" s="2" t="inlineStr">
        <is>
          <t>200m Karışık</t>
        </is>
      </c>
      <c r="N220" s="2" t="inlineStr">
        <is>
          <t>2:45.97</t>
        </is>
      </c>
      <c r="P220" t="inlineStr">
        <is>
          <t>Dokuz Eylül Üniversitesi Spor Kulübü</t>
        </is>
      </c>
      <c r="Q220" t="inlineStr">
        <is>
          <t>İzmir</t>
        </is>
      </c>
      <c r="R220">
        <f>Q220=B220</f>
        <v/>
      </c>
      <c r="T220">
        <f>MATCH(D220,[1]Manual!$A:$A,0)</f>
        <v/>
      </c>
    </row>
    <row r="221" ht="15.95" customHeight="1">
      <c r="A221" s="4" t="n">
        <v>220</v>
      </c>
      <c r="B221" s="4" t="inlineStr">
        <is>
          <t>İzmir</t>
        </is>
      </c>
      <c r="C221" s="5" t="inlineStr">
        <is>
          <t>Erkek</t>
        </is>
      </c>
      <c r="D221" s="5" t="inlineStr">
        <is>
          <t>Tuna Özcan Kubat</t>
        </is>
      </c>
      <c r="E221" s="4" t="inlineStr">
        <is>
          <t>12</t>
        </is>
      </c>
      <c r="F221" s="4" t="inlineStr">
        <is>
          <t>18578124159</t>
        </is>
      </c>
      <c r="G221" s="4" t="inlineStr">
        <is>
          <t>50m Kurbağalama</t>
        </is>
      </c>
      <c r="H221" s="4" t="inlineStr">
        <is>
          <t>34.96</t>
        </is>
      </c>
      <c r="I221" s="4" t="inlineStr">
        <is>
          <t>100m Kelebek</t>
        </is>
      </c>
      <c r="J221" s="4" t="inlineStr">
        <is>
          <t>1:05.17</t>
        </is>
      </c>
      <c r="K221" s="4" t="inlineStr">
        <is>
          <t>100m Kurbağalama</t>
        </is>
      </c>
      <c r="L221" s="4" t="inlineStr">
        <is>
          <t>1:18.39</t>
        </is>
      </c>
      <c r="M221" s="4" t="inlineStr">
        <is>
          <t>200m Karışık</t>
        </is>
      </c>
      <c r="N221" s="4" t="inlineStr">
        <is>
          <t>2:27.96</t>
        </is>
      </c>
      <c r="P221" t="inlineStr">
        <is>
          <t>Dokuz Eylül Üniversitesi Spor Kulübü</t>
        </is>
      </c>
      <c r="Q221" t="inlineStr">
        <is>
          <t>İzmir</t>
        </is>
      </c>
      <c r="R221">
        <f>Q221=B221</f>
        <v/>
      </c>
      <c r="T221">
        <f>MATCH(D221,[1]Manual!$A:$A,0)</f>
        <v/>
      </c>
    </row>
    <row r="222" ht="15.95" customHeight="1">
      <c r="A222" s="2" t="n">
        <v>221</v>
      </c>
      <c r="B222" s="2" t="inlineStr">
        <is>
          <t>İzmir</t>
        </is>
      </c>
      <c r="C222" s="3" t="inlineStr">
        <is>
          <t>Erkek</t>
        </is>
      </c>
      <c r="D222" s="3" t="inlineStr">
        <is>
          <t>Uras GÜNEŞ</t>
        </is>
      </c>
      <c r="E222" s="2" t="inlineStr">
        <is>
          <t>13</t>
        </is>
      </c>
      <c r="F222" s="2" t="inlineStr">
        <is>
          <t>33556830916</t>
        </is>
      </c>
      <c r="G222" s="2" t="inlineStr">
        <is>
          <t>100m Kurbağalama</t>
        </is>
      </c>
      <c r="H222" s="2" t="inlineStr">
        <is>
          <t>1:13.67</t>
        </is>
      </c>
      <c r="I222" s="2" t="inlineStr">
        <is>
          <t>200m Karışık</t>
        </is>
      </c>
      <c r="J222" s="2" t="inlineStr">
        <is>
          <t>2:28.58</t>
        </is>
      </c>
      <c r="K222" s="2" t="inlineStr">
        <is>
          <t>200m Kurbağalama</t>
        </is>
      </c>
      <c r="L222" s="2" t="inlineStr">
        <is>
          <t>2:44.45</t>
        </is>
      </c>
      <c r="M222" s="2" t="inlineStr">
        <is>
          <t>400m Karışık</t>
        </is>
      </c>
      <c r="N222" s="2" t="inlineStr">
        <is>
          <t>5:28.15</t>
        </is>
      </c>
      <c r="P222" t="inlineStr">
        <is>
          <t>Dalton Koleji Spor Kulübü</t>
        </is>
      </c>
      <c r="Q222" t="inlineStr">
        <is>
          <t>İzmir</t>
        </is>
      </c>
      <c r="R222">
        <f>Q222=B222</f>
        <v/>
      </c>
      <c r="T222">
        <f>MATCH(D222,[1]Manual!$A:$A,0)</f>
        <v/>
      </c>
    </row>
    <row r="223" ht="15.95" customHeight="1">
      <c r="A223" s="4" t="n">
        <v>222</v>
      </c>
      <c r="B223" s="2" t="inlineStr">
        <is>
          <t>İzmir</t>
        </is>
      </c>
      <c r="C223" s="5" t="inlineStr">
        <is>
          <t>Erkek</t>
        </is>
      </c>
      <c r="D223" s="5" t="inlineStr">
        <is>
          <t>Çağan Murat COŞKUNOĞLU</t>
        </is>
      </c>
      <c r="E223" s="4" t="inlineStr">
        <is>
          <t>13</t>
        </is>
      </c>
      <c r="F223" s="4" t="inlineStr">
        <is>
          <t>49768898443</t>
        </is>
      </c>
      <c r="G223" s="4" t="inlineStr">
        <is>
          <t>400m Serbest</t>
        </is>
      </c>
      <c r="H223" s="4" t="inlineStr">
        <is>
          <t>04:31.22</t>
        </is>
      </c>
      <c r="I223" s="4" t="inlineStr">
        <is>
          <t>100m Kelebek</t>
        </is>
      </c>
      <c r="J223" s="4" t="inlineStr">
        <is>
          <t>01:04.53</t>
        </is>
      </c>
      <c r="K223" s="4" t="inlineStr">
        <is>
          <t>800m Serbest</t>
        </is>
      </c>
      <c r="L223" s="4" t="inlineStr">
        <is>
          <t>9:21.62</t>
        </is>
      </c>
      <c r="M223" s="4" t="inlineStr">
        <is>
          <t>200m Kelebek</t>
        </is>
      </c>
      <c r="N223" s="4" t="inlineStr">
        <is>
          <t>2:22.59</t>
        </is>
      </c>
      <c r="P223" t="inlineStr">
        <is>
          <t>Izmir Yüzme İhtisas Ve Su Sporları Spor Kulübü</t>
        </is>
      </c>
      <c r="Q223" t="inlineStr">
        <is>
          <t>İzmir</t>
        </is>
      </c>
      <c r="R223">
        <f>Q223=B223</f>
        <v/>
      </c>
      <c r="T223">
        <f>MATCH(D223,[1]Manual!$A:$A,0)</f>
        <v/>
      </c>
    </row>
    <row r="224" ht="15.95" customHeight="1">
      <c r="A224" s="2" t="n">
        <v>223</v>
      </c>
      <c r="B224" s="2" t="inlineStr">
        <is>
          <t>İzmir</t>
        </is>
      </c>
      <c r="C224" s="3" t="inlineStr">
        <is>
          <t>Erkek</t>
        </is>
      </c>
      <c r="D224" s="3" t="inlineStr">
        <is>
          <t>Çağdaş Çolakoğulları</t>
        </is>
      </c>
      <c r="E224" s="2" t="inlineStr">
        <is>
          <t>10</t>
        </is>
      </c>
      <c r="F224" s="2" t="inlineStr">
        <is>
          <t>47731351055</t>
        </is>
      </c>
      <c r="G224" s="2" t="inlineStr">
        <is>
          <t>50m Serbest</t>
        </is>
      </c>
      <c r="H224" s="2" t="inlineStr">
        <is>
          <t>23.96</t>
        </is>
      </c>
      <c r="I224" s="2" t="inlineStr">
        <is>
          <t>50m Kurbağalama</t>
        </is>
      </c>
      <c r="J224" s="2" t="inlineStr">
        <is>
          <t>31.58</t>
        </is>
      </c>
      <c r="K224" s="2" t="inlineStr">
        <is>
          <t>100m Serbest</t>
        </is>
      </c>
      <c r="L224" s="2" t="inlineStr">
        <is>
          <t>53.64</t>
        </is>
      </c>
      <c r="M224" s="2" t="inlineStr">
        <is>
          <t>50m Kelebek</t>
        </is>
      </c>
      <c r="N224" s="2" t="inlineStr">
        <is>
          <t>25.88</t>
        </is>
      </c>
      <c r="P224" s="12" t="inlineStr">
        <is>
          <t>Dalton Koleji Spor Kulübü</t>
        </is>
      </c>
      <c r="Q224" s="12" t="inlineStr">
        <is>
          <t>İzmir</t>
        </is>
      </c>
      <c r="R224">
        <f>Q224=B224</f>
        <v/>
      </c>
      <c r="T224">
        <f>MATCH(D224,[1]Manual!$A:$A,0)</f>
        <v/>
      </c>
    </row>
    <row r="225" ht="15.95" customHeight="1">
      <c r="A225" s="4" t="n">
        <v>224</v>
      </c>
      <c r="B225" s="4" t="inlineStr">
        <is>
          <t>İzmir</t>
        </is>
      </c>
      <c r="C225" s="5" t="inlineStr">
        <is>
          <t>Bayan</t>
        </is>
      </c>
      <c r="D225" s="5" t="inlineStr">
        <is>
          <t>Ada ÖZEN</t>
        </is>
      </c>
      <c r="E225" s="4" t="inlineStr">
        <is>
          <t>13</t>
        </is>
      </c>
      <c r="F225" s="4" t="inlineStr">
        <is>
          <t>27476009118</t>
        </is>
      </c>
      <c r="G225" s="4" t="inlineStr">
        <is>
          <t>100m Serbest</t>
        </is>
      </c>
      <c r="H225" s="4" t="inlineStr">
        <is>
          <t>1:04.52</t>
        </is>
      </c>
      <c r="I225" s="4" t="inlineStr">
        <is>
          <t>100m Kurbağalama</t>
        </is>
      </c>
      <c r="J225" s="4" t="inlineStr">
        <is>
          <t>1:20.83</t>
        </is>
      </c>
      <c r="K225" s="4" t="inlineStr">
        <is>
          <t>200m Serbest</t>
        </is>
      </c>
      <c r="L225" s="4" t="inlineStr">
        <is>
          <t>2:23.66</t>
        </is>
      </c>
      <c r="M225" s="4" t="inlineStr">
        <is>
          <t>200m Kurbağalama</t>
        </is>
      </c>
      <c r="N225" s="4" t="inlineStr">
        <is>
          <t>2:58.11</t>
        </is>
      </c>
      <c r="P225" t="inlineStr">
        <is>
          <t>Alsancak 35 Spor Kulübü</t>
        </is>
      </c>
      <c r="Q225" t="inlineStr">
        <is>
          <t>İzmir</t>
        </is>
      </c>
      <c r="R225">
        <f>Q225=B225</f>
        <v/>
      </c>
      <c r="T225">
        <f>MATCH(D225,[1]Manual!$A:$A,0)</f>
        <v/>
      </c>
    </row>
    <row r="226" ht="15.95" customHeight="1">
      <c r="A226" s="2" t="n">
        <v>225</v>
      </c>
      <c r="B226" s="8" t="inlineStr">
        <is>
          <t>İzmir</t>
        </is>
      </c>
      <c r="C226" s="3" t="inlineStr">
        <is>
          <t>Bayan</t>
        </is>
      </c>
      <c r="D226" s="3" t="inlineStr">
        <is>
          <t>Azra Kayra ÖĞMEN</t>
        </is>
      </c>
      <c r="E226" s="2" t="inlineStr">
        <is>
          <t>09</t>
        </is>
      </c>
      <c r="F226" s="2" t="inlineStr">
        <is>
          <t>51259216356</t>
        </is>
      </c>
      <c r="G226" s="2" t="inlineStr">
        <is>
          <t>50m Serbest</t>
        </is>
      </c>
      <c r="H226" s="2" t="inlineStr">
        <is>
          <t>26.84</t>
        </is>
      </c>
      <c r="I226" s="2" t="inlineStr">
        <is>
          <t>50m Kelebek</t>
        </is>
      </c>
      <c r="J226" s="2" t="inlineStr">
        <is>
          <t>27.96</t>
        </is>
      </c>
      <c r="K226" s="2" t="inlineStr">
        <is>
          <t>100m Serbest</t>
        </is>
      </c>
      <c r="L226" s="2" t="inlineStr">
        <is>
          <t>58.52</t>
        </is>
      </c>
      <c r="M226" s="2" t="inlineStr">
        <is>
          <t>100m Kelebek</t>
        </is>
      </c>
      <c r="N226" s="2" t="inlineStr">
        <is>
          <t>1:04.72</t>
        </is>
      </c>
      <c r="P226" s="6" t="inlineStr">
        <is>
          <t>Enka Spor Kulübü</t>
        </is>
      </c>
      <c r="Q226" t="inlineStr">
        <is>
          <t>İstanbul</t>
        </is>
      </c>
      <c r="R226">
        <f>Q226=B226</f>
        <v/>
      </c>
      <c r="S226" s="9" t="inlineStr">
        <is>
          <t>Kulübü  Enkave İstanbul kulübü ama yaşadığı şehir İzmir, değiştirmeyelim Start listesine bakarız</t>
        </is>
      </c>
      <c r="T226">
        <f>MATCH(D226,[1]Manual!$A:$A,0)</f>
        <v/>
      </c>
    </row>
    <row r="227" ht="15.95" customHeight="1">
      <c r="A227" s="4" t="n">
        <v>226</v>
      </c>
      <c r="B227" s="11" t="inlineStr">
        <is>
          <t>İzmir</t>
        </is>
      </c>
      <c r="C227" s="5" t="inlineStr">
        <is>
          <t>Bayan</t>
        </is>
      </c>
      <c r="D227" s="5" t="inlineStr">
        <is>
          <t>Azra MUTLU</t>
        </is>
      </c>
      <c r="E227" s="4" t="inlineStr">
        <is>
          <t>14</t>
        </is>
      </c>
      <c r="F227" s="4" t="inlineStr">
        <is>
          <t>48733123184</t>
        </is>
      </c>
      <c r="G227" s="4" t="inlineStr">
        <is>
          <t>800m Serbest</t>
        </is>
      </c>
      <c r="H227" s="4" t="inlineStr">
        <is>
          <t>11:46.58</t>
        </is>
      </c>
      <c r="I227" s="4" t="inlineStr">
        <is>
          <t>200m Kurbağalama</t>
        </is>
      </c>
      <c r="J227" s="4" t="inlineStr">
        <is>
          <t>3:07.41</t>
        </is>
      </c>
      <c r="K227" s="4" t="inlineStr">
        <is>
          <t>100m Kurbağalama</t>
        </is>
      </c>
      <c r="L227" s="4" t="inlineStr">
        <is>
          <t>1:29.67</t>
        </is>
      </c>
      <c r="M227" s="4" t="inlineStr">
        <is>
          <t>200m Karışık</t>
        </is>
      </c>
      <c r="N227" s="4" t="inlineStr">
        <is>
          <t>2:50.76</t>
        </is>
      </c>
      <c r="P227" t="inlineStr">
        <is>
          <t>Atletico Spor Kulübü</t>
        </is>
      </c>
      <c r="Q227" s="10" t="inlineStr">
        <is>
          <t>İzmir</t>
        </is>
      </c>
      <c r="R227">
        <f>Q227=B227</f>
        <v/>
      </c>
      <c r="S227" s="9" t="inlineStr">
        <is>
          <t>2014lü olan İzmir'li</t>
        </is>
      </c>
      <c r="T227">
        <f>MATCH(D227,[1]Manual!$A:$A,0)</f>
        <v/>
      </c>
    </row>
    <row r="228" ht="15.95" customHeight="1">
      <c r="A228" s="2" t="n">
        <v>227</v>
      </c>
      <c r="B228" s="2" t="inlineStr">
        <is>
          <t>İzmir</t>
        </is>
      </c>
      <c r="C228" s="3" t="inlineStr">
        <is>
          <t>Bayan</t>
        </is>
      </c>
      <c r="D228" s="3" t="inlineStr">
        <is>
          <t>Cemre İNCE</t>
        </is>
      </c>
      <c r="E228" s="2" t="inlineStr">
        <is>
          <t>11</t>
        </is>
      </c>
      <c r="F228" s="2" t="inlineStr">
        <is>
          <t>39127443756</t>
        </is>
      </c>
      <c r="G228" s="2" t="inlineStr">
        <is>
          <t>50m Kelebek</t>
        </is>
      </c>
      <c r="H228" s="2" t="inlineStr">
        <is>
          <t>29.27</t>
        </is>
      </c>
      <c r="I228" s="2" t="inlineStr">
        <is>
          <t>200m Kelebek</t>
        </is>
      </c>
      <c r="J228" s="2" t="inlineStr">
        <is>
          <t>2:21.16</t>
        </is>
      </c>
      <c r="K228" s="2" t="inlineStr">
        <is>
          <t>100m Kelebek</t>
        </is>
      </c>
      <c r="L228" s="2" t="inlineStr">
        <is>
          <t>1:04.11</t>
        </is>
      </c>
      <c r="M228" s="2" t="inlineStr">
        <is>
          <t>200m Karışık</t>
        </is>
      </c>
      <c r="N228" s="2" t="inlineStr">
        <is>
          <t>2:25.17</t>
        </is>
      </c>
      <c r="P228" s="12" t="inlineStr">
        <is>
          <t>Göztepe Spor Kulübü</t>
        </is>
      </c>
      <c r="Q228" s="12" t="inlineStr">
        <is>
          <t>İzmir</t>
        </is>
      </c>
      <c r="R228">
        <f>Q228=B228</f>
        <v/>
      </c>
      <c r="T228">
        <f>MATCH(D228,[1]Manual!$A:$A,0)</f>
        <v/>
      </c>
    </row>
    <row r="229" ht="15.95" customHeight="1">
      <c r="A229" s="4" t="n">
        <v>228</v>
      </c>
      <c r="B229" s="4" t="inlineStr">
        <is>
          <t>İzmir</t>
        </is>
      </c>
      <c r="C229" s="5" t="inlineStr">
        <is>
          <t>Bayan</t>
        </is>
      </c>
      <c r="D229" s="5" t="inlineStr">
        <is>
          <t>Cemre KAYNAŞ</t>
        </is>
      </c>
      <c r="E229" s="4" t="inlineStr">
        <is>
          <t>13</t>
        </is>
      </c>
      <c r="F229" s="4" t="inlineStr">
        <is>
          <t>58459000217</t>
        </is>
      </c>
      <c r="G229" s="4" t="inlineStr">
        <is>
          <t>100m Serbest</t>
        </is>
      </c>
      <c r="H229" s="4" t="inlineStr">
        <is>
          <t>1:02.45</t>
        </is>
      </c>
      <c r="I229" s="4" t="inlineStr">
        <is>
          <t>200m Karışık</t>
        </is>
      </c>
      <c r="J229" s="4" t="inlineStr">
        <is>
          <t>2:36.62</t>
        </is>
      </c>
      <c r="K229" s="4" t="inlineStr">
        <is>
          <t>200m Serbest</t>
        </is>
      </c>
      <c r="L229" s="4" t="inlineStr">
        <is>
          <t>2:15.34</t>
        </is>
      </c>
      <c r="M229" s="4" t="inlineStr">
        <is>
          <t>400m Karışık</t>
        </is>
      </c>
      <c r="N229" s="4" t="inlineStr">
        <is>
          <t>5:37.38</t>
        </is>
      </c>
      <c r="P229" t="inlineStr">
        <is>
          <t>Atletico Spor Kulübü</t>
        </is>
      </c>
      <c r="Q229" t="inlineStr">
        <is>
          <t>İzmir</t>
        </is>
      </c>
      <c r="R229">
        <f>Q229=B229</f>
        <v/>
      </c>
      <c r="T229">
        <f>MATCH(D229,[1]Manual!$A:$A,0)</f>
        <v/>
      </c>
    </row>
    <row r="230" ht="15.95" customHeight="1">
      <c r="A230" s="2" t="n">
        <v>229</v>
      </c>
      <c r="B230" s="2" t="inlineStr">
        <is>
          <t>İzmir</t>
        </is>
      </c>
      <c r="C230" s="3" t="inlineStr">
        <is>
          <t>Bayan</t>
        </is>
      </c>
      <c r="D230" s="3" t="inlineStr">
        <is>
          <t>Defne GÖNEN</t>
        </is>
      </c>
      <c r="E230" s="2" t="inlineStr">
        <is>
          <t>14</t>
        </is>
      </c>
      <c r="F230" s="2" t="inlineStr">
        <is>
          <t>31357301720</t>
        </is>
      </c>
      <c r="G230" s="2" t="inlineStr">
        <is>
          <t>200m Sırtüstü</t>
        </is>
      </c>
      <c r="H230" s="2" t="inlineStr">
        <is>
          <t>2:44.65</t>
        </is>
      </c>
      <c r="I230" s="2" t="inlineStr">
        <is>
          <t>200m Karışık</t>
        </is>
      </c>
      <c r="J230" s="2" t="inlineStr">
        <is>
          <t>2:47.22</t>
        </is>
      </c>
      <c r="K230" s="2" t="inlineStr">
        <is>
          <t>100m Kelebek</t>
        </is>
      </c>
      <c r="L230" s="2" t="inlineStr">
        <is>
          <t>1:17.94</t>
        </is>
      </c>
      <c r="M230" s="2" t="inlineStr">
        <is>
          <t>400m Karışık</t>
        </is>
      </c>
      <c r="N230" s="2" t="inlineStr">
        <is>
          <t>6:23.01</t>
        </is>
      </c>
      <c r="P230" t="inlineStr">
        <is>
          <t>Ege Ocean Yüzme İhtisas Spor Kulübü</t>
        </is>
      </c>
      <c r="Q230" t="inlineStr">
        <is>
          <t>İzmir</t>
        </is>
      </c>
      <c r="R230">
        <f>Q230=B230</f>
        <v/>
      </c>
      <c r="T230">
        <f>MATCH(D230,[1]Manual!$A:$A,0)</f>
        <v/>
      </c>
    </row>
    <row r="231" ht="15.95" customHeight="1">
      <c r="A231" s="4" t="n">
        <v>230</v>
      </c>
      <c r="B231" s="4" t="inlineStr">
        <is>
          <t>İzmir</t>
        </is>
      </c>
      <c r="C231" s="5" t="inlineStr">
        <is>
          <t>Bayan</t>
        </is>
      </c>
      <c r="D231" s="5" t="inlineStr">
        <is>
          <t>Deniz ERÇELEBİ</t>
        </is>
      </c>
      <c r="E231" s="4" t="inlineStr">
        <is>
          <t>14</t>
        </is>
      </c>
      <c r="F231" s="4" t="inlineStr">
        <is>
          <t>34019423484</t>
        </is>
      </c>
      <c r="G231" s="4" t="inlineStr">
        <is>
          <t>800m Serbest</t>
        </is>
      </c>
      <c r="H231" s="4" t="inlineStr">
        <is>
          <t>11:48.36</t>
        </is>
      </c>
      <c r="I231" s="4" t="inlineStr">
        <is>
          <t>200m Sırtüstü</t>
        </is>
      </c>
      <c r="J231" s="4" t="inlineStr">
        <is>
          <t>2:46.48</t>
        </is>
      </c>
      <c r="K231" s="4" t="inlineStr">
        <is>
          <t>100m Sırtüstü</t>
        </is>
      </c>
      <c r="L231" s="4" t="inlineStr">
        <is>
          <t>1:17.81</t>
        </is>
      </c>
      <c r="M231" s="4" t="inlineStr">
        <is>
          <t>200m Karışık</t>
        </is>
      </c>
      <c r="N231" s="4" t="inlineStr">
        <is>
          <t>2:50.65</t>
        </is>
      </c>
      <c r="P231" t="inlineStr">
        <is>
          <t>Ege Ocean Yüzme İhtisas Spor Kulübü</t>
        </is>
      </c>
      <c r="Q231" t="inlineStr">
        <is>
          <t>İzmir</t>
        </is>
      </c>
      <c r="R231">
        <f>Q231=B231</f>
        <v/>
      </c>
      <c r="T231">
        <f>MATCH(D231,[1]Manual!$A:$A,0)</f>
        <v/>
      </c>
    </row>
    <row r="232" ht="15.95" customHeight="1">
      <c r="A232" s="2" t="n">
        <v>231</v>
      </c>
      <c r="B232" s="2" t="inlineStr">
        <is>
          <t>İzmir</t>
        </is>
      </c>
      <c r="C232" s="3" t="inlineStr">
        <is>
          <t>Bayan</t>
        </is>
      </c>
      <c r="D232" s="3" t="inlineStr">
        <is>
          <t>Derin Ada BAŞOLUK</t>
        </is>
      </c>
      <c r="E232" s="2" t="inlineStr">
        <is>
          <t>13</t>
        </is>
      </c>
      <c r="F232" s="2" t="inlineStr">
        <is>
          <t>29195580912</t>
        </is>
      </c>
      <c r="G232" s="2" t="inlineStr">
        <is>
          <t>100m Kurbağalama</t>
        </is>
      </c>
      <c r="H232" s="2" t="inlineStr">
        <is>
          <t>1:20.34</t>
        </is>
      </c>
      <c r="I232" s="2" t="inlineStr">
        <is>
          <t>200m Karışık</t>
        </is>
      </c>
      <c r="J232" s="2" t="inlineStr">
        <is>
          <t>2:39.24</t>
        </is>
      </c>
      <c r="K232" s="2" t="inlineStr">
        <is>
          <t>200m Kurbağalama</t>
        </is>
      </c>
      <c r="L232" s="2" t="inlineStr">
        <is>
          <t>2:49.72</t>
        </is>
      </c>
      <c r="M232" s="2" t="inlineStr">
        <is>
          <t>400m Karışık</t>
        </is>
      </c>
      <c r="N232" s="2" t="inlineStr">
        <is>
          <t>5:42.40</t>
        </is>
      </c>
      <c r="P232" t="inlineStr">
        <is>
          <t>Ege Ocean Yüzme İhtisas Spor Kulübü</t>
        </is>
      </c>
      <c r="Q232" t="inlineStr">
        <is>
          <t>İzmir</t>
        </is>
      </c>
      <c r="R232">
        <f>Q232=B232</f>
        <v/>
      </c>
      <c r="T232">
        <f>MATCH(D232,[1]Manual!$A:$A,0)</f>
        <v/>
      </c>
    </row>
    <row r="233" ht="15.95" customHeight="1">
      <c r="A233" s="4" t="n">
        <v>232</v>
      </c>
      <c r="B233" s="4" t="inlineStr">
        <is>
          <t>İzmir</t>
        </is>
      </c>
      <c r="C233" s="5" t="inlineStr">
        <is>
          <t>Bayan</t>
        </is>
      </c>
      <c r="D233" s="5" t="inlineStr">
        <is>
          <t>Ela Su ESKİOĞLU</t>
        </is>
      </c>
      <c r="E233" s="4" t="inlineStr">
        <is>
          <t>12</t>
        </is>
      </c>
      <c r="F233" s="4" t="inlineStr">
        <is>
          <t>30914202716</t>
        </is>
      </c>
      <c r="G233" s="4" t="inlineStr">
        <is>
          <t>100m Kurbağalama</t>
        </is>
      </c>
      <c r="H233" s="4" t="inlineStr">
        <is>
          <t>1:19.68</t>
        </is>
      </c>
      <c r="I233" s="4" t="inlineStr">
        <is>
          <t>200m Karışık</t>
        </is>
      </c>
      <c r="J233" s="4" t="inlineStr">
        <is>
          <t>2:30.29</t>
        </is>
      </c>
      <c r="K233" s="4" t="inlineStr">
        <is>
          <t>200m Kurbağalama</t>
        </is>
      </c>
      <c r="L233" s="4" t="inlineStr">
        <is>
          <t>2:47.77</t>
        </is>
      </c>
      <c r="M233" s="4" t="inlineStr">
        <is>
          <t>400m Karışık</t>
        </is>
      </c>
      <c r="N233" s="4" t="inlineStr">
        <is>
          <t>5:20.05</t>
        </is>
      </c>
      <c r="P233" t="inlineStr">
        <is>
          <t>Atletico Spor Kulübü</t>
        </is>
      </c>
      <c r="Q233" t="inlineStr">
        <is>
          <t>İzmir</t>
        </is>
      </c>
      <c r="R233">
        <f>Q233=B233</f>
        <v/>
      </c>
      <c r="T233">
        <f>MATCH(D233,[1]Manual!$A:$A,0)</f>
        <v/>
      </c>
    </row>
    <row r="234" ht="15.95" customHeight="1">
      <c r="A234" s="2" t="n">
        <v>233</v>
      </c>
      <c r="B234" s="2" t="inlineStr">
        <is>
          <t>İzmir</t>
        </is>
      </c>
      <c r="C234" s="3" t="inlineStr">
        <is>
          <t>Bayan</t>
        </is>
      </c>
      <c r="D234" s="3" t="inlineStr">
        <is>
          <t>İpek SÖZER</t>
        </is>
      </c>
      <c r="E234" s="2" t="inlineStr">
        <is>
          <t>11</t>
        </is>
      </c>
      <c r="F234" s="2" t="inlineStr">
        <is>
          <t>45178425559</t>
        </is>
      </c>
      <c r="G234" s="2" t="inlineStr">
        <is>
          <t>50m Serbest</t>
        </is>
      </c>
      <c r="H234" s="2" t="inlineStr">
        <is>
          <t>28.42</t>
        </is>
      </c>
      <c r="I234" s="2" t="inlineStr">
        <is>
          <t>100m Sırtüstü</t>
        </is>
      </c>
      <c r="J234" s="2" t="inlineStr">
        <is>
          <t>1:05.06</t>
        </is>
      </c>
      <c r="K234" s="2" t="inlineStr">
        <is>
          <t>50m Sırtüstü</t>
        </is>
      </c>
      <c r="L234" s="2" t="inlineStr">
        <is>
          <t>30.28</t>
        </is>
      </c>
      <c r="M234" s="2" t="inlineStr">
        <is>
          <t>200m Sırtüstü</t>
        </is>
      </c>
      <c r="N234" s="2" t="inlineStr">
        <is>
          <t>2:23.28</t>
        </is>
      </c>
      <c r="P234" s="12" t="inlineStr">
        <is>
          <t>Göztepe Spor Kulübü</t>
        </is>
      </c>
      <c r="Q234" s="12" t="inlineStr">
        <is>
          <t>İzmir</t>
        </is>
      </c>
      <c r="R234">
        <f>Q234=B234</f>
        <v/>
      </c>
      <c r="T234">
        <f>MATCH(D234,[1]Manual!$A:$A,0)</f>
        <v/>
      </c>
    </row>
    <row r="235" ht="15.95" customHeight="1">
      <c r="A235" s="4" t="n">
        <v>234</v>
      </c>
      <c r="B235" s="4" t="inlineStr">
        <is>
          <t>İzmir</t>
        </is>
      </c>
      <c r="C235" s="5" t="inlineStr">
        <is>
          <t>Bayan</t>
        </is>
      </c>
      <c r="D235" s="5" t="inlineStr">
        <is>
          <t>Merve MENGÜBERTİ</t>
        </is>
      </c>
      <c r="E235" s="4" t="inlineStr">
        <is>
          <t>12</t>
        </is>
      </c>
      <c r="F235" s="4" t="inlineStr">
        <is>
          <t>20234069016</t>
        </is>
      </c>
      <c r="G235" s="4" t="inlineStr">
        <is>
          <t>100m Kelebek</t>
        </is>
      </c>
      <c r="H235" s="4" t="inlineStr">
        <is>
          <t>1:07.47</t>
        </is>
      </c>
      <c r="I235" s="4" t="inlineStr">
        <is>
          <t>200m Karışık</t>
        </is>
      </c>
      <c r="J235" s="4" t="inlineStr">
        <is>
          <t>2:30.54</t>
        </is>
      </c>
      <c r="K235" s="4" t="inlineStr">
        <is>
          <t>200m Kelebek</t>
        </is>
      </c>
      <c r="L235" s="4" t="inlineStr">
        <is>
          <t>2:24.40</t>
        </is>
      </c>
      <c r="M235" s="4" t="inlineStr">
        <is>
          <t>400m Karışık</t>
        </is>
      </c>
      <c r="N235" s="4" t="inlineStr">
        <is>
          <t>5:14.28</t>
        </is>
      </c>
      <c r="P235" s="12" t="inlineStr">
        <is>
          <t>Göztepe Spor Kulübü</t>
        </is>
      </c>
      <c r="Q235" t="inlineStr">
        <is>
          <t>İzmir</t>
        </is>
      </c>
      <c r="R235">
        <f>Q235=B235</f>
        <v/>
      </c>
      <c r="T235">
        <f>MATCH(D235,[1]Manual!$A:$A,0)</f>
        <v/>
      </c>
    </row>
    <row r="236" ht="15.95" customHeight="1">
      <c r="A236" s="2" t="n">
        <v>235</v>
      </c>
      <c r="B236" s="2" t="inlineStr">
        <is>
          <t>İzmir</t>
        </is>
      </c>
      <c r="C236" s="3" t="inlineStr">
        <is>
          <t>Bayan</t>
        </is>
      </c>
      <c r="D236" s="3" t="inlineStr">
        <is>
          <t>Neslişah KARACAOĞLU</t>
        </is>
      </c>
      <c r="E236" s="2" t="inlineStr">
        <is>
          <t>14</t>
        </is>
      </c>
      <c r="F236" s="2" t="inlineStr">
        <is>
          <t>23273089484</t>
        </is>
      </c>
      <c r="G236" s="2" t="inlineStr">
        <is>
          <t>800m Serbest</t>
        </is>
      </c>
      <c r="H236" s="2" t="inlineStr">
        <is>
          <t>11:43.65</t>
        </is>
      </c>
      <c r="I236" s="2" t="inlineStr">
        <is>
          <t>200m Karışık</t>
        </is>
      </c>
      <c r="J236" s="2" t="inlineStr">
        <is>
          <t>2:43.53</t>
        </is>
      </c>
      <c r="K236" s="2" t="inlineStr">
        <is>
          <t>1500m Serbest</t>
        </is>
      </c>
      <c r="L236" s="2" t="inlineStr">
        <is>
          <t>22:49.37</t>
        </is>
      </c>
      <c r="M236" s="2" t="inlineStr">
        <is>
          <t>400m Karışık</t>
        </is>
      </c>
      <c r="N236" s="2" t="inlineStr">
        <is>
          <t>NT</t>
        </is>
      </c>
      <c r="P236" s="12" t="inlineStr">
        <is>
          <t>Göztepe Spor Kulübü</t>
        </is>
      </c>
      <c r="Q236" t="inlineStr">
        <is>
          <t>İzmir</t>
        </is>
      </c>
      <c r="R236">
        <f>Q236=B236</f>
        <v/>
      </c>
      <c r="T236">
        <f>MATCH(D236,[1]Manual!$A:$A,0)</f>
        <v/>
      </c>
    </row>
    <row r="237" ht="15.95" customHeight="1">
      <c r="A237" s="4" t="n">
        <v>236</v>
      </c>
      <c r="B237" s="4" t="inlineStr">
        <is>
          <t>İzmir</t>
        </is>
      </c>
      <c r="C237" s="5" t="inlineStr">
        <is>
          <t>Bayan</t>
        </is>
      </c>
      <c r="D237" s="5" t="inlineStr">
        <is>
          <t>Tanem Can YAVUZÖZ</t>
        </is>
      </c>
      <c r="E237" s="4" t="inlineStr">
        <is>
          <t>13</t>
        </is>
      </c>
      <c r="F237" s="4" t="inlineStr">
        <is>
          <t>57469015714</t>
        </is>
      </c>
      <c r="G237" s="4" t="inlineStr">
        <is>
          <t>100m Serbest</t>
        </is>
      </c>
      <c r="H237" s="4" t="inlineStr">
        <is>
          <t>01:04.69</t>
        </is>
      </c>
      <c r="I237" s="4" t="inlineStr">
        <is>
          <t>100m Sırtüstü</t>
        </is>
      </c>
      <c r="J237" s="4" t="inlineStr">
        <is>
          <t>1:13.28</t>
        </is>
      </c>
      <c r="K237" s="4" t="inlineStr">
        <is>
          <t>200m Serbest</t>
        </is>
      </c>
      <c r="L237" s="4" t="inlineStr">
        <is>
          <t>2:30.58</t>
        </is>
      </c>
      <c r="M237" s="4" t="inlineStr">
        <is>
          <t>100m Kelebek</t>
        </is>
      </c>
      <c r="N237" s="4" t="inlineStr">
        <is>
          <t>01:12.95</t>
        </is>
      </c>
      <c r="P237" s="12" t="inlineStr">
        <is>
          <t>Göztepe Spor Kulübü</t>
        </is>
      </c>
      <c r="Q237" t="inlineStr">
        <is>
          <t>İzmir</t>
        </is>
      </c>
      <c r="R237">
        <f>Q237=B237</f>
        <v/>
      </c>
      <c r="T237">
        <f>MATCH(D237,[1]Manual!$A:$A,0)</f>
        <v/>
      </c>
    </row>
    <row r="238" ht="15.95" customHeight="1">
      <c r="A238" s="2" t="n">
        <v>237</v>
      </c>
      <c r="B238" s="2" t="inlineStr">
        <is>
          <t>İzmir</t>
        </is>
      </c>
      <c r="C238" s="3" t="inlineStr">
        <is>
          <t>Bayan</t>
        </is>
      </c>
      <c r="D238" s="3" t="inlineStr">
        <is>
          <t>Zeynep Derin GÜLDEMİR</t>
        </is>
      </c>
      <c r="E238" s="2" t="inlineStr">
        <is>
          <t>12</t>
        </is>
      </c>
      <c r="F238" s="2" t="inlineStr">
        <is>
          <t>50152273714</t>
        </is>
      </c>
      <c r="G238" s="2" t="inlineStr">
        <is>
          <t>100m Serbest</t>
        </is>
      </c>
      <c r="H238" s="2" t="inlineStr">
        <is>
          <t>1:01.51</t>
        </is>
      </c>
      <c r="I238" s="2" t="inlineStr">
        <is>
          <t>100m Kurbağalama</t>
        </is>
      </c>
      <c r="J238" s="2" t="inlineStr">
        <is>
          <t>1:18.19</t>
        </is>
      </c>
      <c r="K238" s="2" t="inlineStr">
        <is>
          <t>200m Serbest</t>
        </is>
      </c>
      <c r="L238" s="2" t="inlineStr">
        <is>
          <t>2:12.97</t>
        </is>
      </c>
      <c r="M238" s="2" t="inlineStr">
        <is>
          <t>200m Kurbağalama</t>
        </is>
      </c>
      <c r="N238" s="2" t="inlineStr">
        <is>
          <t>2:46.15</t>
        </is>
      </c>
      <c r="P238" s="12" t="inlineStr">
        <is>
          <t>Göztepe Spor Kulübü</t>
        </is>
      </c>
      <c r="Q238" t="inlineStr">
        <is>
          <t>İzmir</t>
        </is>
      </c>
      <c r="R238">
        <f>Q238=B238</f>
        <v/>
      </c>
      <c r="T238">
        <f>MATCH(D238,[1]Manual!$A:$A,0)</f>
        <v/>
      </c>
    </row>
    <row r="239" ht="15.95" customHeight="1">
      <c r="A239" s="4" t="n">
        <v>238</v>
      </c>
      <c r="B239" s="4" t="inlineStr">
        <is>
          <t>Kayseri</t>
        </is>
      </c>
      <c r="C239" s="5" t="inlineStr">
        <is>
          <t>Erkek</t>
        </is>
      </c>
      <c r="D239" s="5" t="inlineStr">
        <is>
          <t>Ahmet Talha AKKAŞ</t>
        </is>
      </c>
      <c r="E239" s="4" t="inlineStr">
        <is>
          <t>14</t>
        </is>
      </c>
      <c r="F239" s="4" t="inlineStr">
        <is>
          <t>17288430320</t>
        </is>
      </c>
      <c r="G239" s="4" t="inlineStr">
        <is>
          <t>200m Serbest</t>
        </is>
      </c>
      <c r="H239" s="4" t="inlineStr">
        <is>
          <t>2:21.15</t>
        </is>
      </c>
      <c r="I239" s="4" t="inlineStr">
        <is>
          <t>800m Serbest</t>
        </is>
      </c>
      <c r="J239" s="4" t="inlineStr">
        <is>
          <t>9:52.62</t>
        </is>
      </c>
      <c r="K239" s="4" t="inlineStr">
        <is>
          <t>400m Serbest</t>
        </is>
      </c>
      <c r="L239" s="4" t="inlineStr">
        <is>
          <t>4:54.43</t>
        </is>
      </c>
      <c r="M239" s="4" t="inlineStr">
        <is>
          <t>1500m Serbest</t>
        </is>
      </c>
      <c r="N239" s="4" t="inlineStr">
        <is>
          <t>19:37.39</t>
        </is>
      </c>
      <c r="P239" t="inlineStr">
        <is>
          <t>Kayseri Atak Spor Kulübü</t>
        </is>
      </c>
      <c r="Q239" t="inlineStr">
        <is>
          <t>Kayseri</t>
        </is>
      </c>
      <c r="R239">
        <f>Q239=B239</f>
        <v/>
      </c>
      <c r="T239">
        <f>MATCH(D239,[1]Manual!$A:$A,0)</f>
        <v/>
      </c>
    </row>
    <row r="240" ht="15.95" customHeight="1">
      <c r="A240" s="2" t="n">
        <v>239</v>
      </c>
      <c r="B240" s="2" t="inlineStr">
        <is>
          <t>Kayseri</t>
        </is>
      </c>
      <c r="C240" s="3" t="inlineStr">
        <is>
          <t>Erkek</t>
        </is>
      </c>
      <c r="D240" s="3" t="inlineStr">
        <is>
          <t>Ahmet Yahya Karabulut</t>
        </is>
      </c>
      <c r="E240" s="2" t="inlineStr">
        <is>
          <t>12</t>
        </is>
      </c>
      <c r="F240" s="2" t="inlineStr">
        <is>
          <t>14909513252</t>
        </is>
      </c>
      <c r="G240" s="2" t="inlineStr">
        <is>
          <t>50m Kelebek</t>
        </is>
      </c>
      <c r="H240" s="2" t="inlineStr">
        <is>
          <t>29.08</t>
        </is>
      </c>
      <c r="I240" s="2" t="inlineStr">
        <is>
          <t>200m Kelebek</t>
        </is>
      </c>
      <c r="J240" s="2" t="inlineStr">
        <is>
          <t>2:20.45</t>
        </is>
      </c>
      <c r="K240" s="2" t="inlineStr">
        <is>
          <t>100m Kelebek</t>
        </is>
      </c>
      <c r="L240" s="2" t="inlineStr">
        <is>
          <t>1:03.55</t>
        </is>
      </c>
      <c r="M240" s="2" t="inlineStr">
        <is>
          <t>400m Karışık</t>
        </is>
      </c>
      <c r="N240" s="2" t="inlineStr">
        <is>
          <t>5:11.71</t>
        </is>
      </c>
      <c r="P240" t="inlineStr">
        <is>
          <t>Anadolu Yildizlari Yüzme Spor Kulübü</t>
        </is>
      </c>
      <c r="Q240" t="inlineStr">
        <is>
          <t>Kayseri</t>
        </is>
      </c>
      <c r="R240">
        <f>Q240=B240</f>
        <v/>
      </c>
      <c r="T240">
        <f>MATCH(D240,[1]Manual!$A:$A,0)</f>
        <v/>
      </c>
    </row>
    <row r="241" ht="15.95" customHeight="1">
      <c r="A241" s="4" t="n">
        <v>240</v>
      </c>
      <c r="B241" s="4" t="inlineStr">
        <is>
          <t>Kayseri</t>
        </is>
      </c>
      <c r="C241" s="5" t="inlineStr">
        <is>
          <t>Erkek</t>
        </is>
      </c>
      <c r="D241" s="5" t="inlineStr">
        <is>
          <t>Alperen Güzey</t>
        </is>
      </c>
      <c r="E241" s="4" t="inlineStr">
        <is>
          <t>13</t>
        </is>
      </c>
      <c r="F241" s="4" t="inlineStr">
        <is>
          <t>26102147611</t>
        </is>
      </c>
      <c r="G241" s="4" t="inlineStr">
        <is>
          <t>100m Serbest</t>
        </is>
      </c>
      <c r="H241" s="4" t="inlineStr">
        <is>
          <t>1:04.29</t>
        </is>
      </c>
      <c r="I241" s="4" t="inlineStr">
        <is>
          <t>100m Kurbağalama</t>
        </is>
      </c>
      <c r="J241" s="4" t="inlineStr">
        <is>
          <t>1:22.46</t>
        </is>
      </c>
      <c r="K241" s="4" t="inlineStr">
        <is>
          <t>400m Serbest</t>
        </is>
      </c>
      <c r="L241" s="4" t="inlineStr">
        <is>
          <t>4:49.04</t>
        </is>
      </c>
      <c r="M241" s="4" t="n"/>
      <c r="N241" s="4" t="inlineStr">
        <is>
          <t>NT</t>
        </is>
      </c>
      <c r="P241" t="inlineStr">
        <is>
          <t>Kayseri Fırtına Spor Kulübü</t>
        </is>
      </c>
      <c r="Q241" t="inlineStr">
        <is>
          <t>Kayseri</t>
        </is>
      </c>
      <c r="R241">
        <f>Q241=B241</f>
        <v/>
      </c>
      <c r="T241">
        <f>MATCH(D241,[1]Manual!$A:$A,0)</f>
        <v/>
      </c>
    </row>
    <row r="242" ht="15.95" customHeight="1">
      <c r="A242" s="2" t="n">
        <v>241</v>
      </c>
      <c r="B242" s="2" t="inlineStr">
        <is>
          <t>Kayseri</t>
        </is>
      </c>
      <c r="C242" s="3" t="inlineStr">
        <is>
          <t>Erkek</t>
        </is>
      </c>
      <c r="D242" s="3" t="inlineStr">
        <is>
          <t>Alperen KALKAN</t>
        </is>
      </c>
      <c r="E242" s="2" t="inlineStr">
        <is>
          <t>14</t>
        </is>
      </c>
      <c r="F242" s="2" t="inlineStr">
        <is>
          <t>59611022143</t>
        </is>
      </c>
      <c r="G242" s="2" t="inlineStr">
        <is>
          <t>400m Serbest</t>
        </is>
      </c>
      <c r="H242" s="2" t="inlineStr">
        <is>
          <t>5:00.09</t>
        </is>
      </c>
      <c r="I242" s="2" t="inlineStr">
        <is>
          <t>1500m Serbest</t>
        </is>
      </c>
      <c r="J242" s="2" t="inlineStr">
        <is>
          <t>19:54.09</t>
        </is>
      </c>
      <c r="K242" s="2" t="inlineStr">
        <is>
          <t>800m Serbest</t>
        </is>
      </c>
      <c r="L242" s="2" t="inlineStr">
        <is>
          <t>10:11.69</t>
        </is>
      </c>
      <c r="M242" s="2" t="inlineStr">
        <is>
          <t>200m Karışık</t>
        </is>
      </c>
      <c r="N242" s="2" t="inlineStr">
        <is>
          <t>2:47.50</t>
        </is>
      </c>
      <c r="P242" t="inlineStr">
        <is>
          <t>Kayseri Spor A.Ş. Spor Kulübü</t>
        </is>
      </c>
      <c r="Q242" t="inlineStr">
        <is>
          <t>Kayseri</t>
        </is>
      </c>
      <c r="R242">
        <f>Q242=B242</f>
        <v/>
      </c>
      <c r="T242">
        <f>MATCH(D242,[1]Manual!$A:$A,0)</f>
        <v/>
      </c>
    </row>
    <row r="243" ht="15.95" customHeight="1">
      <c r="A243" s="4" t="n">
        <v>242</v>
      </c>
      <c r="B243" s="4" t="inlineStr">
        <is>
          <t>Kayseri</t>
        </is>
      </c>
      <c r="C243" s="5" t="inlineStr">
        <is>
          <t>Erkek</t>
        </is>
      </c>
      <c r="D243" s="5" t="inlineStr">
        <is>
          <t>Bekir SIVACI</t>
        </is>
      </c>
      <c r="E243" s="4" t="inlineStr">
        <is>
          <t>10</t>
        </is>
      </c>
      <c r="F243" s="4" t="inlineStr">
        <is>
          <t>36808775121</t>
        </is>
      </c>
      <c r="G243" s="4" t="inlineStr">
        <is>
          <t>200m Serbest</t>
        </is>
      </c>
      <c r="H243" s="4" t="inlineStr">
        <is>
          <t>2:01.34</t>
        </is>
      </c>
      <c r="I243" s="4" t="inlineStr">
        <is>
          <t>800m Serbest</t>
        </is>
      </c>
      <c r="J243" s="4" t="inlineStr">
        <is>
          <t>8:39.67</t>
        </is>
      </c>
      <c r="K243" s="4" t="inlineStr">
        <is>
          <t>400m Serbest</t>
        </is>
      </c>
      <c r="L243" s="4" t="inlineStr">
        <is>
          <t>4:14.16</t>
        </is>
      </c>
      <c r="M243" s="4" t="inlineStr">
        <is>
          <t>1500m Serbest</t>
        </is>
      </c>
      <c r="N243" s="4" t="inlineStr">
        <is>
          <t>16:33.80</t>
        </is>
      </c>
      <c r="P243" s="6" t="inlineStr">
        <is>
          <t>Kayseri Yüzme Spor Kulübü</t>
        </is>
      </c>
      <c r="Q243" s="6" t="inlineStr">
        <is>
          <t>Kayseri</t>
        </is>
      </c>
      <c r="R243">
        <f>Q243=B243</f>
        <v/>
      </c>
      <c r="T243">
        <f>MATCH(D243,[1]Manual!$A:$A,0)</f>
        <v/>
      </c>
    </row>
    <row r="244" ht="15.95" customHeight="1">
      <c r="A244" s="2" t="n">
        <v>243</v>
      </c>
      <c r="B244" s="2" t="inlineStr">
        <is>
          <t>Kayseri</t>
        </is>
      </c>
      <c r="C244" s="3" t="inlineStr">
        <is>
          <t>Erkek</t>
        </is>
      </c>
      <c r="D244" s="3" t="inlineStr">
        <is>
          <t>İbrahim Eren Atakan</t>
        </is>
      </c>
      <c r="E244" s="2" t="inlineStr">
        <is>
          <t>11</t>
        </is>
      </c>
      <c r="F244" s="2" t="inlineStr">
        <is>
          <t>30254002424</t>
        </is>
      </c>
      <c r="G244" s="2" t="inlineStr">
        <is>
          <t>200m Serbest</t>
        </is>
      </c>
      <c r="H244" s="2" t="inlineStr">
        <is>
          <t>2:06.84</t>
        </is>
      </c>
      <c r="I244" s="2" t="inlineStr">
        <is>
          <t>800m Serbest</t>
        </is>
      </c>
      <c r="J244" s="2" t="inlineStr">
        <is>
          <t>9:10.11</t>
        </is>
      </c>
      <c r="K244" s="2" t="inlineStr">
        <is>
          <t>400m Serbest</t>
        </is>
      </c>
      <c r="L244" s="2" t="inlineStr">
        <is>
          <t>4:27.03</t>
        </is>
      </c>
      <c r="M244" s="2" t="inlineStr">
        <is>
          <t>1500m Serbest</t>
        </is>
      </c>
      <c r="N244" s="2" t="inlineStr">
        <is>
          <t>17:53.76</t>
        </is>
      </c>
      <c r="P244" t="inlineStr">
        <is>
          <t>Kayseri Atak Spor Kulübü</t>
        </is>
      </c>
      <c r="Q244" t="inlineStr">
        <is>
          <t>Kayseri</t>
        </is>
      </c>
      <c r="R244">
        <f>Q244=B244</f>
        <v/>
      </c>
      <c r="T244">
        <f>MATCH(D244,[1]Manual!$A:$A,0)</f>
        <v/>
      </c>
    </row>
    <row r="245" ht="15.95" customHeight="1">
      <c r="A245" s="4" t="n">
        <v>244</v>
      </c>
      <c r="B245" s="4" t="inlineStr">
        <is>
          <t>Kayseri</t>
        </is>
      </c>
      <c r="C245" s="5" t="inlineStr">
        <is>
          <t>Erkek</t>
        </is>
      </c>
      <c r="D245" s="5" t="inlineStr">
        <is>
          <t>İbrahim MUTLU</t>
        </is>
      </c>
      <c r="E245" s="4" t="inlineStr">
        <is>
          <t>13</t>
        </is>
      </c>
      <c r="F245" s="4" t="inlineStr">
        <is>
          <t>53671217945</t>
        </is>
      </c>
      <c r="G245" s="4" t="inlineStr">
        <is>
          <t>400m Serbest</t>
        </is>
      </c>
      <c r="H245" s="4" t="inlineStr">
        <is>
          <t>4:39.87</t>
        </is>
      </c>
      <c r="I245" s="4" t="inlineStr">
        <is>
          <t>1500m Serbest</t>
        </is>
      </c>
      <c r="J245" s="4" t="inlineStr">
        <is>
          <t>18:28.76</t>
        </is>
      </c>
      <c r="K245" s="4" t="inlineStr">
        <is>
          <t>800m Serbest</t>
        </is>
      </c>
      <c r="L245" s="4" t="inlineStr">
        <is>
          <t>9:39.69</t>
        </is>
      </c>
      <c r="M245" s="4" t="inlineStr">
        <is>
          <t>200m Karışık</t>
        </is>
      </c>
      <c r="N245" s="4" t="inlineStr">
        <is>
          <t>02:32.78</t>
        </is>
      </c>
      <c r="P245" t="inlineStr">
        <is>
          <t>Kayseri Okyanus Spor Kulübü</t>
        </is>
      </c>
      <c r="Q245" t="inlineStr">
        <is>
          <t>Kayseri</t>
        </is>
      </c>
      <c r="R245">
        <f>Q245=B245</f>
        <v/>
      </c>
      <c r="T245">
        <f>MATCH(D245,[1]Manual!$A:$A,0)</f>
        <v/>
      </c>
    </row>
    <row r="246" ht="15.95" customHeight="1">
      <c r="A246" s="2" t="n">
        <v>245</v>
      </c>
      <c r="B246" s="2" t="inlineStr">
        <is>
          <t>Kayseri</t>
        </is>
      </c>
      <c r="C246" s="3" t="inlineStr">
        <is>
          <t>Erkek</t>
        </is>
      </c>
      <c r="D246" s="3" t="inlineStr">
        <is>
          <t>Mustafa Kocamaz</t>
        </is>
      </c>
      <c r="E246" s="2" t="inlineStr">
        <is>
          <t>12</t>
        </is>
      </c>
      <c r="F246" s="2" t="inlineStr">
        <is>
          <t>29450036043</t>
        </is>
      </c>
      <c r="G246" s="2" t="inlineStr">
        <is>
          <t>400m Serbest</t>
        </is>
      </c>
      <c r="H246" s="2" t="inlineStr">
        <is>
          <t>4:47.39</t>
        </is>
      </c>
      <c r="I246" s="2" t="inlineStr">
        <is>
          <t>1500m Serbest</t>
        </is>
      </c>
      <c r="J246" s="2" t="inlineStr">
        <is>
          <t>19:15.66</t>
        </is>
      </c>
      <c r="K246" s="2" t="inlineStr">
        <is>
          <t>800m Serbest</t>
        </is>
      </c>
      <c r="L246" s="2" t="inlineStr">
        <is>
          <t>9:51.36</t>
        </is>
      </c>
      <c r="M246" s="2" t="inlineStr">
        <is>
          <t>200m Karışık</t>
        </is>
      </c>
      <c r="N246" s="2" t="inlineStr">
        <is>
          <t>2:24.73</t>
        </is>
      </c>
      <c r="P246" t="inlineStr">
        <is>
          <t>Kayseri Yüzme Spor Kulübü</t>
        </is>
      </c>
      <c r="Q246" t="inlineStr">
        <is>
          <t>Kayseri</t>
        </is>
      </c>
      <c r="R246">
        <f>Q246=B246</f>
        <v/>
      </c>
      <c r="T246">
        <f>MATCH(D246,[1]Manual!$A:$A,0)</f>
        <v/>
      </c>
    </row>
    <row r="247" ht="15.95" customHeight="1">
      <c r="A247" s="4" t="n">
        <v>246</v>
      </c>
      <c r="B247" s="4" t="inlineStr">
        <is>
          <t>Kayseri</t>
        </is>
      </c>
      <c r="C247" s="5" t="inlineStr">
        <is>
          <t>Erkek</t>
        </is>
      </c>
      <c r="D247" s="5" t="inlineStr">
        <is>
          <t>Yalçın ULUSOY</t>
        </is>
      </c>
      <c r="E247" s="4" t="inlineStr">
        <is>
          <t>09</t>
        </is>
      </c>
      <c r="F247" s="4" t="inlineStr">
        <is>
          <t>34756851825</t>
        </is>
      </c>
      <c r="G247" s="4" t="inlineStr">
        <is>
          <t>200m Serbest</t>
        </is>
      </c>
      <c r="H247" s="4" t="inlineStr">
        <is>
          <t>1:59.05</t>
        </is>
      </c>
      <c r="I247" s="4" t="inlineStr">
        <is>
          <t>800m Serbest</t>
        </is>
      </c>
      <c r="J247" s="4" t="inlineStr">
        <is>
          <t>8:24.75</t>
        </is>
      </c>
      <c r="K247" s="4" t="inlineStr">
        <is>
          <t>400m Serbest</t>
        </is>
      </c>
      <c r="L247" s="4" t="inlineStr">
        <is>
          <t>4:05.87</t>
        </is>
      </c>
      <c r="M247" s="4" t="inlineStr">
        <is>
          <t>1500m Serbest</t>
        </is>
      </c>
      <c r="N247" s="4" t="inlineStr">
        <is>
          <t>15:54.98</t>
        </is>
      </c>
      <c r="P247" s="6" t="inlineStr">
        <is>
          <t>Kayseri Yüzme Spor Kulübü</t>
        </is>
      </c>
      <c r="Q247" s="6" t="inlineStr">
        <is>
          <t>Kayseri</t>
        </is>
      </c>
      <c r="R247">
        <f>Q247=B247</f>
        <v/>
      </c>
      <c r="T247">
        <f>MATCH(D247,[1]Manual!$A:$A,0)</f>
        <v/>
      </c>
    </row>
    <row r="248" ht="15.95" customHeight="1">
      <c r="A248" s="2" t="n">
        <v>247</v>
      </c>
      <c r="B248" s="2" t="inlineStr">
        <is>
          <t>Kayseri</t>
        </is>
      </c>
      <c r="C248" s="3" t="inlineStr">
        <is>
          <t>Erkek</t>
        </is>
      </c>
      <c r="D248" s="3" t="inlineStr">
        <is>
          <t>Yiğit Ahmet NARİN</t>
        </is>
      </c>
      <c r="E248" s="2" t="inlineStr">
        <is>
          <t>09</t>
        </is>
      </c>
      <c r="F248" s="2" t="inlineStr">
        <is>
          <t>16082591422</t>
        </is>
      </c>
      <c r="G248" s="2" t="inlineStr">
        <is>
          <t>200m Serbest</t>
        </is>
      </c>
      <c r="H248" s="2" t="inlineStr">
        <is>
          <t>2:02.18</t>
        </is>
      </c>
      <c r="I248" s="2" t="inlineStr">
        <is>
          <t>800m Serbest</t>
        </is>
      </c>
      <c r="J248" s="2" t="inlineStr">
        <is>
          <t>8:29.58</t>
        </is>
      </c>
      <c r="K248" s="2" t="inlineStr">
        <is>
          <t>400m Serbest</t>
        </is>
      </c>
      <c r="L248" s="2" t="inlineStr">
        <is>
          <t>4:10.52</t>
        </is>
      </c>
      <c r="M248" s="2" t="inlineStr">
        <is>
          <t>1500m Serbest</t>
        </is>
      </c>
      <c r="N248" s="2" t="inlineStr">
        <is>
          <t>15:56.45</t>
        </is>
      </c>
      <c r="P248" s="6" t="inlineStr">
        <is>
          <t>Kayseri Gençlik Ve Spor Il Müdürlüğü Spor Kulübü</t>
        </is>
      </c>
      <c r="Q248" s="12" t="inlineStr">
        <is>
          <t>Kayseri</t>
        </is>
      </c>
      <c r="R248">
        <f>Q248=B248</f>
        <v/>
      </c>
      <c r="T248">
        <f>MATCH(D248,[1]Manual!$A:$A,0)</f>
        <v/>
      </c>
    </row>
    <row r="249" ht="15.95" customHeight="1">
      <c r="A249" s="4" t="n">
        <v>248</v>
      </c>
      <c r="B249" s="4" t="inlineStr">
        <is>
          <t>Kayseri</t>
        </is>
      </c>
      <c r="C249" s="5" t="inlineStr">
        <is>
          <t>Erkek</t>
        </is>
      </c>
      <c r="D249" s="5" t="inlineStr">
        <is>
          <t>Çınar GÜLSOY</t>
        </is>
      </c>
      <c r="E249" s="4" t="inlineStr">
        <is>
          <t>11</t>
        </is>
      </c>
      <c r="F249" s="4" t="inlineStr">
        <is>
          <t>26792113122</t>
        </is>
      </c>
      <c r="G249" s="4" t="inlineStr">
        <is>
          <t>200m Serbest</t>
        </is>
      </c>
      <c r="H249" s="4" t="inlineStr">
        <is>
          <t>2:03.37</t>
        </is>
      </c>
      <c r="I249" s="4" t="inlineStr">
        <is>
          <t>800m Serbest</t>
        </is>
      </c>
      <c r="J249" s="4" t="inlineStr">
        <is>
          <t>8:50.88</t>
        </is>
      </c>
      <c r="K249" s="4" t="inlineStr">
        <is>
          <t>400m Serbest</t>
        </is>
      </c>
      <c r="L249" s="4" t="inlineStr">
        <is>
          <t>4:18.09</t>
        </is>
      </c>
      <c r="M249" s="4" t="inlineStr">
        <is>
          <t>1500m Serbest</t>
        </is>
      </c>
      <c r="N249" s="4" t="inlineStr">
        <is>
          <t>16:37.82</t>
        </is>
      </c>
      <c r="P249" t="inlineStr">
        <is>
          <t>Erciyes Yıldız Spor Kulübü</t>
        </is>
      </c>
      <c r="Q249" t="inlineStr">
        <is>
          <t>Kayseri</t>
        </is>
      </c>
      <c r="R249">
        <f>Q249=B249</f>
        <v/>
      </c>
      <c r="T249">
        <f>MATCH(D249,[1]Manual!$A:$A,0)</f>
        <v/>
      </c>
    </row>
    <row r="250" ht="15.95" customHeight="1">
      <c r="A250" s="2" t="n">
        <v>249</v>
      </c>
      <c r="B250" s="2" t="inlineStr">
        <is>
          <t>Kayseri</t>
        </is>
      </c>
      <c r="C250" s="3" t="inlineStr">
        <is>
          <t>Bayan</t>
        </is>
      </c>
      <c r="D250" s="3" t="inlineStr">
        <is>
          <t>Berilay BATUR</t>
        </is>
      </c>
      <c r="E250" s="2" t="inlineStr">
        <is>
          <t>13</t>
        </is>
      </c>
      <c r="F250" s="2" t="inlineStr">
        <is>
          <t>39121705828</t>
        </is>
      </c>
      <c r="G250" s="2" t="inlineStr">
        <is>
          <t>200m Serbest</t>
        </is>
      </c>
      <c r="H250" s="2" t="inlineStr">
        <is>
          <t>2:14.63</t>
        </is>
      </c>
      <c r="I250" s="2" t="inlineStr">
        <is>
          <t>800m Serbest</t>
        </is>
      </c>
      <c r="J250" s="2" t="inlineStr">
        <is>
          <t>9:33.80</t>
        </is>
      </c>
      <c r="K250" s="2" t="inlineStr">
        <is>
          <t>400m Serbest</t>
        </is>
      </c>
      <c r="L250" s="2" t="inlineStr">
        <is>
          <t>4:42.00</t>
        </is>
      </c>
      <c r="M250" s="2" t="inlineStr">
        <is>
          <t>1500m Serbest</t>
        </is>
      </c>
      <c r="N250" s="2" t="inlineStr">
        <is>
          <t>18:38.95</t>
        </is>
      </c>
      <c r="P250" t="inlineStr">
        <is>
          <t>Kayseri Atak Spor Kulübü</t>
        </is>
      </c>
      <c r="Q250" t="inlineStr">
        <is>
          <t>Kayseri</t>
        </is>
      </c>
      <c r="R250">
        <f>Q250=B250</f>
        <v/>
      </c>
      <c r="T250">
        <f>MATCH(D250,[1]Manual!$A:$A,0)</f>
        <v/>
      </c>
    </row>
    <row r="251" ht="15.95" customHeight="1">
      <c r="A251" s="4" t="n">
        <v>250</v>
      </c>
      <c r="B251" s="4" t="inlineStr">
        <is>
          <t>Kayseri</t>
        </is>
      </c>
      <c r="C251" s="5" t="inlineStr">
        <is>
          <t>Bayan</t>
        </is>
      </c>
      <c r="D251" s="5" t="inlineStr">
        <is>
          <t>Ikra SIVACI</t>
        </is>
      </c>
      <c r="E251" s="4" t="inlineStr">
        <is>
          <t>10</t>
        </is>
      </c>
      <c r="F251" s="4" t="inlineStr">
        <is>
          <t>36280792724</t>
        </is>
      </c>
      <c r="G251" s="4" t="inlineStr">
        <is>
          <t>200m Serbest</t>
        </is>
      </c>
      <c r="H251" s="4" t="inlineStr">
        <is>
          <t>2:08.90</t>
        </is>
      </c>
      <c r="I251" s="4" t="inlineStr">
        <is>
          <t>800m Serbest</t>
        </is>
      </c>
      <c r="J251" s="4" t="inlineStr">
        <is>
          <t>9:15.83</t>
        </is>
      </c>
      <c r="K251" s="4" t="inlineStr">
        <is>
          <t>400m Serbest</t>
        </is>
      </c>
      <c r="L251" s="4" t="inlineStr">
        <is>
          <t>4:27.61</t>
        </is>
      </c>
      <c r="M251" s="4" t="inlineStr">
        <is>
          <t>1500m Serbest</t>
        </is>
      </c>
      <c r="N251" s="4" t="inlineStr">
        <is>
          <t>17:27.91</t>
        </is>
      </c>
      <c r="P251" s="6" t="inlineStr">
        <is>
          <t>Kayseri Yüzme Spor Kulübü</t>
        </is>
      </c>
      <c r="Q251" s="6" t="inlineStr">
        <is>
          <t>Kayseri</t>
        </is>
      </c>
      <c r="R251">
        <f>Q251=B251</f>
        <v/>
      </c>
      <c r="T251">
        <f>MATCH(D251,[1]Manual!$A:$A,0)</f>
        <v/>
      </c>
    </row>
    <row r="252" ht="15.95" customHeight="1">
      <c r="A252" s="2" t="n">
        <v>251</v>
      </c>
      <c r="B252" s="2" t="inlineStr">
        <is>
          <t>Kayseri</t>
        </is>
      </c>
      <c r="C252" s="3" t="inlineStr">
        <is>
          <t>Bayan</t>
        </is>
      </c>
      <c r="D252" s="3" t="inlineStr">
        <is>
          <t>Zeynep Berra SARIKAN</t>
        </is>
      </c>
      <c r="E252" s="2" t="inlineStr">
        <is>
          <t>14</t>
        </is>
      </c>
      <c r="F252" s="2" t="inlineStr">
        <is>
          <t>11725173625</t>
        </is>
      </c>
      <c r="G252" s="2" t="inlineStr">
        <is>
          <t>200m Serbest</t>
        </is>
      </c>
      <c r="H252" s="2" t="inlineStr">
        <is>
          <t>2:23.97</t>
        </is>
      </c>
      <c r="I252" s="2" t="inlineStr">
        <is>
          <t>200m Kelebek</t>
        </is>
      </c>
      <c r="J252" s="2" t="inlineStr">
        <is>
          <t>2:54.00</t>
        </is>
      </c>
      <c r="K252" s="2" t="inlineStr">
        <is>
          <t>100m Kelebek</t>
        </is>
      </c>
      <c r="L252" s="2" t="inlineStr">
        <is>
          <t>1:12.70</t>
        </is>
      </c>
      <c r="M252" s="2" t="inlineStr">
        <is>
          <t>200m Karışık</t>
        </is>
      </c>
      <c r="N252" s="2" t="inlineStr">
        <is>
          <t>2:43.06</t>
        </is>
      </c>
      <c r="P252" t="inlineStr">
        <is>
          <t>Lidya Spor Kulübü</t>
        </is>
      </c>
      <c r="Q252" t="inlineStr">
        <is>
          <t>Kayseri</t>
        </is>
      </c>
      <c r="R252">
        <f>Q252=B252</f>
        <v/>
      </c>
      <c r="T252">
        <f>MATCH(D252,[1]Manual!$A:$A,0)</f>
        <v/>
      </c>
    </row>
    <row r="253" ht="15.95" customHeight="1">
      <c r="A253" s="4" t="n">
        <v>252</v>
      </c>
      <c r="B253" s="4" t="inlineStr">
        <is>
          <t>Kayseri</t>
        </is>
      </c>
      <c r="C253" s="5" t="inlineStr">
        <is>
          <t>Bayan</t>
        </is>
      </c>
      <c r="D253" s="5" t="inlineStr">
        <is>
          <t>Zeynep MEYİLLİ</t>
        </is>
      </c>
      <c r="E253" s="4" t="inlineStr">
        <is>
          <t>14</t>
        </is>
      </c>
      <c r="F253" s="4" t="inlineStr">
        <is>
          <t>19739352211</t>
        </is>
      </c>
      <c r="G253" s="4" t="inlineStr">
        <is>
          <t>100m Serbest</t>
        </is>
      </c>
      <c r="H253" s="4" t="inlineStr">
        <is>
          <t>1:07.89</t>
        </is>
      </c>
      <c r="I253" s="4" t="inlineStr">
        <is>
          <t>100m Kelebek</t>
        </is>
      </c>
      <c r="J253" s="4" t="inlineStr">
        <is>
          <t>1:28.10</t>
        </is>
      </c>
      <c r="K253" s="4" t="inlineStr">
        <is>
          <t>200m Kurbağalama</t>
        </is>
      </c>
      <c r="L253" s="4" t="inlineStr">
        <is>
          <t>NT</t>
        </is>
      </c>
      <c r="M253" s="4" t="n"/>
      <c r="N253" s="4" t="inlineStr">
        <is>
          <t>NT</t>
        </is>
      </c>
      <c r="P253" t="inlineStr">
        <is>
          <t>Kayseri Fırtına Spor Kulübü</t>
        </is>
      </c>
      <c r="Q253" t="inlineStr">
        <is>
          <t>Kayseri</t>
        </is>
      </c>
      <c r="R253">
        <f>Q253=B253</f>
        <v/>
      </c>
      <c r="T253">
        <f>MATCH(D253,[1]Manual!$A:$A,0)</f>
        <v/>
      </c>
    </row>
    <row r="254" ht="15.95" customHeight="1">
      <c r="A254" s="2" t="n">
        <v>253</v>
      </c>
      <c r="B254" s="8" t="inlineStr">
        <is>
          <t>Kocaeli</t>
        </is>
      </c>
      <c r="C254" s="3" t="inlineStr">
        <is>
          <t>Erkek</t>
        </is>
      </c>
      <c r="D254" s="3" t="inlineStr">
        <is>
          <t>Doruk AÇAR</t>
        </is>
      </c>
      <c r="E254" s="2" t="inlineStr">
        <is>
          <t>10</t>
        </is>
      </c>
      <c r="F254" s="2" t="inlineStr">
        <is>
          <t>31681871827</t>
        </is>
      </c>
      <c r="G254" s="2" t="inlineStr">
        <is>
          <t>200m Serbest</t>
        </is>
      </c>
      <c r="H254" s="2" t="inlineStr">
        <is>
          <t>1:56.38</t>
        </is>
      </c>
      <c r="I254" s="2" t="inlineStr">
        <is>
          <t>100m Sırtüstü</t>
        </is>
      </c>
      <c r="J254" s="2" t="inlineStr">
        <is>
          <t>59.52</t>
        </is>
      </c>
      <c r="K254" s="2" t="inlineStr">
        <is>
          <t>400m Serbest</t>
        </is>
      </c>
      <c r="L254" s="2" t="inlineStr">
        <is>
          <t>4:07.64</t>
        </is>
      </c>
      <c r="M254" s="2" t="inlineStr">
        <is>
          <t>200m Sırtüstü</t>
        </is>
      </c>
      <c r="N254" s="2" t="inlineStr">
        <is>
          <t>2:07.52</t>
        </is>
      </c>
      <c r="P254" s="6" t="inlineStr">
        <is>
          <t>Galatasaray Spor Kulübü</t>
        </is>
      </c>
      <c r="Q254" s="6" t="inlineStr">
        <is>
          <t>İstanbul</t>
        </is>
      </c>
      <c r="R254">
        <f>Q254=B254</f>
        <v/>
      </c>
      <c r="S254" s="9" t="inlineStr">
        <is>
          <t>Kulübü  Galatasaray ve İstanbul kulübü ama yaşadığı şehir Kocaeli, değiştirmeyelim Start listesine bakarız</t>
        </is>
      </c>
      <c r="T254">
        <f>MATCH(D254,[1]Manual!$A:$A,0)</f>
        <v/>
      </c>
    </row>
    <row r="255" ht="15.95" customHeight="1">
      <c r="A255" s="4" t="n">
        <v>254</v>
      </c>
      <c r="B255" s="4" t="inlineStr">
        <is>
          <t>Kocaeli</t>
        </is>
      </c>
      <c r="C255" s="5" t="inlineStr">
        <is>
          <t>Bayan</t>
        </is>
      </c>
      <c r="D255" s="5" t="inlineStr">
        <is>
          <t>Elif Rüya KANDEMİR</t>
        </is>
      </c>
      <c r="E255" s="4" t="inlineStr">
        <is>
          <t>12</t>
        </is>
      </c>
      <c r="F255" s="4" t="inlineStr">
        <is>
          <t>38140503058</t>
        </is>
      </c>
      <c r="G255" s="4" t="inlineStr">
        <is>
          <t>50m Kurbağalama</t>
        </is>
      </c>
      <c r="H255" s="4" t="inlineStr">
        <is>
          <t>36.17</t>
        </is>
      </c>
      <c r="I255" s="4" t="inlineStr">
        <is>
          <t>200m Kurbağalama</t>
        </is>
      </c>
      <c r="J255" s="4" t="inlineStr">
        <is>
          <t>2:50.66</t>
        </is>
      </c>
      <c r="K255" s="4" t="inlineStr">
        <is>
          <t>100m Kurbağalama</t>
        </is>
      </c>
      <c r="L255" s="4" t="inlineStr">
        <is>
          <t>1:20.08</t>
        </is>
      </c>
      <c r="M255" s="4" t="inlineStr">
        <is>
          <t>200m Karışık</t>
        </is>
      </c>
      <c r="N255" s="4" t="inlineStr">
        <is>
          <t>2:37.29</t>
        </is>
      </c>
      <c r="P255" t="inlineStr">
        <is>
          <t>Kocaeli Yıldızlar Yüzme Spor Kulübü</t>
        </is>
      </c>
      <c r="Q255" t="inlineStr">
        <is>
          <t>Kocaeli</t>
        </is>
      </c>
      <c r="R255">
        <f>Q255=B255</f>
        <v/>
      </c>
      <c r="T255">
        <f>MATCH(D255,[1]Manual!$A:$A,0)</f>
        <v/>
      </c>
    </row>
    <row r="256" ht="15.95" customHeight="1">
      <c r="A256" s="2" t="n">
        <v>255</v>
      </c>
      <c r="B256" s="2" t="inlineStr">
        <is>
          <t>Kocaeli</t>
        </is>
      </c>
      <c r="C256" s="3" t="inlineStr">
        <is>
          <t>Bayan</t>
        </is>
      </c>
      <c r="D256" s="3" t="inlineStr">
        <is>
          <t>İpek Gökçe DEMİRBAŞAK</t>
        </is>
      </c>
      <c r="E256" s="2" t="inlineStr">
        <is>
          <t>12</t>
        </is>
      </c>
      <c r="F256" s="2" t="inlineStr">
        <is>
          <t>38176774324</t>
        </is>
      </c>
      <c r="G256" s="2" t="inlineStr">
        <is>
          <t>200m Serbest</t>
        </is>
      </c>
      <c r="H256" s="2" t="inlineStr">
        <is>
          <t>2:19.50</t>
        </is>
      </c>
      <c r="I256" s="2" t="inlineStr">
        <is>
          <t>800m Serbest</t>
        </is>
      </c>
      <c r="J256" s="2" t="inlineStr">
        <is>
          <t>9:43.90</t>
        </is>
      </c>
      <c r="K256" s="2" t="inlineStr">
        <is>
          <t>400m Serbest</t>
        </is>
      </c>
      <c r="L256" s="2" t="inlineStr">
        <is>
          <t>4:44.74</t>
        </is>
      </c>
      <c r="M256" s="2" t="inlineStr">
        <is>
          <t>1500m Serbest</t>
        </is>
      </c>
      <c r="N256" s="2" t="inlineStr">
        <is>
          <t>18:30.87</t>
        </is>
      </c>
      <c r="P256" s="12" t="inlineStr">
        <is>
          <t>Kocaeli Yıldızlar Yüzme Spor Kulübü</t>
        </is>
      </c>
      <c r="Q256" s="12" t="inlineStr">
        <is>
          <t>Kocaeli</t>
        </is>
      </c>
      <c r="R256">
        <f>Q256=B256</f>
        <v/>
      </c>
      <c r="T256">
        <f>MATCH(D256,[1]Manual!$A:$A,0)</f>
        <v/>
      </c>
    </row>
    <row r="257" ht="15.95" customHeight="1">
      <c r="A257" s="4" t="n">
        <v>256</v>
      </c>
      <c r="B257" s="11" t="inlineStr">
        <is>
          <t>Konya</t>
        </is>
      </c>
      <c r="C257" s="5" t="inlineStr">
        <is>
          <t>Bayan</t>
        </is>
      </c>
      <c r="D257" s="5" t="inlineStr">
        <is>
          <t>Beren MUTAŞ</t>
        </is>
      </c>
      <c r="E257" s="4" t="inlineStr">
        <is>
          <t>14</t>
        </is>
      </c>
      <c r="F257" s="4" t="inlineStr">
        <is>
          <t>38413494016</t>
        </is>
      </c>
      <c r="G257" s="4" t="inlineStr">
        <is>
          <t>100m Serbest</t>
        </is>
      </c>
      <c r="H257" s="4" t="inlineStr">
        <is>
          <t>1:07.88</t>
        </is>
      </c>
      <c r="I257" s="4" t="inlineStr">
        <is>
          <t>400m Serbest</t>
        </is>
      </c>
      <c r="J257" s="4" t="inlineStr">
        <is>
          <t>5:03.47</t>
        </is>
      </c>
      <c r="K257" s="4" t="inlineStr">
        <is>
          <t>200m Serbest</t>
        </is>
      </c>
      <c r="L257" s="4" t="inlineStr">
        <is>
          <t>2:26.99</t>
        </is>
      </c>
      <c r="M257" s="4" t="inlineStr">
        <is>
          <t>800m Serbest</t>
        </is>
      </c>
      <c r="N257" s="4" t="inlineStr">
        <is>
          <t>11:17.69</t>
        </is>
      </c>
      <c r="P257" s="12" t="inlineStr">
        <is>
          <t>Marlin Akademi Yüzme Spor Kulübü</t>
        </is>
      </c>
      <c r="Q257" s="16" t="inlineStr">
        <is>
          <t>Konya</t>
        </is>
      </c>
      <c r="R257">
        <f>Q257=B257</f>
        <v/>
      </c>
      <c r="T257">
        <f>MATCH(D257,[1]Manual!$A:$A,0)</f>
        <v/>
      </c>
    </row>
    <row r="258" ht="15.95" customHeight="1">
      <c r="A258" s="2" t="n">
        <v>257</v>
      </c>
      <c r="B258" s="2" t="inlineStr">
        <is>
          <t>Konya</t>
        </is>
      </c>
      <c r="C258" s="3" t="inlineStr">
        <is>
          <t>Bayan</t>
        </is>
      </c>
      <c r="D258" s="3" t="inlineStr">
        <is>
          <t>Hatice Ceren SARI</t>
        </is>
      </c>
      <c r="E258" s="2" t="inlineStr">
        <is>
          <t>14</t>
        </is>
      </c>
      <c r="F258" s="2" t="inlineStr">
        <is>
          <t>41680384913</t>
        </is>
      </c>
      <c r="G258" s="2" t="inlineStr">
        <is>
          <t>100m Sırtüstü</t>
        </is>
      </c>
      <c r="H258" s="2" t="inlineStr">
        <is>
          <t>1:09.95</t>
        </is>
      </c>
      <c r="I258" s="2" t="inlineStr">
        <is>
          <t>200m Karışık</t>
        </is>
      </c>
      <c r="J258" s="2" t="inlineStr">
        <is>
          <t>2:38.33</t>
        </is>
      </c>
      <c r="K258" s="2" t="inlineStr">
        <is>
          <t>200m Sırtüstü</t>
        </is>
      </c>
      <c r="L258" s="2" t="inlineStr">
        <is>
          <t>2:36.72</t>
        </is>
      </c>
      <c r="M258" s="2" t="inlineStr">
        <is>
          <t>400m Karışık</t>
        </is>
      </c>
      <c r="N258" s="2" t="inlineStr">
        <is>
          <t>NT</t>
        </is>
      </c>
      <c r="P258" t="inlineStr">
        <is>
          <t>Albatros Yüzme Akademisi</t>
        </is>
      </c>
      <c r="Q258" t="inlineStr">
        <is>
          <t>Konya</t>
        </is>
      </c>
      <c r="R258">
        <f>Q258=B258</f>
        <v/>
      </c>
      <c r="T258">
        <f>MATCH(D258,[1]Manual!$A:$A,0)</f>
        <v/>
      </c>
    </row>
    <row r="259" ht="15.95" customHeight="1">
      <c r="A259" s="4" t="n">
        <v>258</v>
      </c>
      <c r="B259" s="8" t="inlineStr">
        <is>
          <t>Kütahya</t>
        </is>
      </c>
      <c r="C259" s="5" t="inlineStr">
        <is>
          <t>Erkek</t>
        </is>
      </c>
      <c r="D259" s="5" t="inlineStr">
        <is>
          <t>Akın Sarp KIRIŞ</t>
        </is>
      </c>
      <c r="E259" s="4" t="inlineStr">
        <is>
          <t>10</t>
        </is>
      </c>
      <c r="F259" s="4" t="inlineStr">
        <is>
          <t>53968307316</t>
        </is>
      </c>
      <c r="G259" s="4" t="inlineStr">
        <is>
          <t>100m Serbest</t>
        </is>
      </c>
      <c r="H259" s="4" t="inlineStr">
        <is>
          <t>54.85</t>
        </is>
      </c>
      <c r="I259" s="4" t="inlineStr">
        <is>
          <t>100m Kurbağalama</t>
        </is>
      </c>
      <c r="J259" s="4" t="inlineStr">
        <is>
          <t>1:06.69</t>
        </is>
      </c>
      <c r="K259" s="4" t="inlineStr">
        <is>
          <t>50m Kurbağalama</t>
        </is>
      </c>
      <c r="L259" s="4" t="inlineStr">
        <is>
          <t>30.60</t>
        </is>
      </c>
      <c r="M259" s="4" t="inlineStr">
        <is>
          <t>200m Kurbağalama</t>
        </is>
      </c>
      <c r="N259" s="4" t="inlineStr">
        <is>
          <t>2:25.69</t>
        </is>
      </c>
      <c r="P259" s="12" t="inlineStr">
        <is>
          <t>Eskisehir Su Sporları Kulübü Derneği</t>
        </is>
      </c>
      <c r="Q259" s="12" t="inlineStr">
        <is>
          <t>Eskişehir</t>
        </is>
      </c>
      <c r="R259">
        <f>Q259=B259</f>
        <v/>
      </c>
      <c r="S259" s="9" t="inlineStr">
        <is>
          <t>Kulübü Eskişehir ama sem girişi Kütahya, Start listesine bakarız</t>
        </is>
      </c>
      <c r="T259">
        <f>MATCH(D259,[1]Manual!$A:$A,0)</f>
        <v/>
      </c>
    </row>
    <row r="260" ht="15.95" customHeight="1">
      <c r="A260" s="2" t="n">
        <v>259</v>
      </c>
      <c r="B260" s="2" t="inlineStr">
        <is>
          <t>Mersin</t>
        </is>
      </c>
      <c r="C260" s="3" t="inlineStr">
        <is>
          <t>Erkek</t>
        </is>
      </c>
      <c r="D260" s="3" t="inlineStr">
        <is>
          <t>Ekin YALDAEI</t>
        </is>
      </c>
      <c r="E260" s="2" t="inlineStr">
        <is>
          <t>13</t>
        </is>
      </c>
      <c r="F260" s="2" t="inlineStr">
        <is>
          <t>66169350119</t>
        </is>
      </c>
      <c r="G260" s="2" t="inlineStr">
        <is>
          <t>100m Kelebek</t>
        </is>
      </c>
      <c r="H260" s="2" t="inlineStr">
        <is>
          <t>1:05.92</t>
        </is>
      </c>
      <c r="I260" s="2" t="inlineStr">
        <is>
          <t>200m Karışık</t>
        </is>
      </c>
      <c r="J260" s="2" t="inlineStr">
        <is>
          <t>2:26.46</t>
        </is>
      </c>
      <c r="K260" s="2" t="inlineStr">
        <is>
          <t>200m Kelebek</t>
        </is>
      </c>
      <c r="L260" s="2" t="inlineStr">
        <is>
          <t>2:24.91</t>
        </is>
      </c>
      <c r="M260" s="2" t="inlineStr">
        <is>
          <t>400m Karışık</t>
        </is>
      </c>
      <c r="N260" s="2" t="inlineStr">
        <is>
          <t>05:08.32</t>
        </is>
      </c>
      <c r="P260" t="inlineStr">
        <is>
          <t>Mersin Gençlerbirliği Spor Kulübü</t>
        </is>
      </c>
      <c r="Q260" t="inlineStr">
        <is>
          <t>Mersin</t>
        </is>
      </c>
      <c r="R260">
        <f>Q260=B260</f>
        <v/>
      </c>
      <c r="T260">
        <f>MATCH(D260,[1]Manual!$A:$A,0)</f>
        <v/>
      </c>
    </row>
    <row r="261" ht="15.95" customHeight="1">
      <c r="A261" s="4" t="n">
        <v>260</v>
      </c>
      <c r="B261" s="4" t="inlineStr">
        <is>
          <t>Mersin</t>
        </is>
      </c>
      <c r="C261" s="5" t="inlineStr">
        <is>
          <t>Erkek</t>
        </is>
      </c>
      <c r="D261" s="5" t="inlineStr">
        <is>
          <t>Kayrahan ÇELİK</t>
        </is>
      </c>
      <c r="E261" s="4" t="inlineStr">
        <is>
          <t>14</t>
        </is>
      </c>
      <c r="F261" s="4" t="inlineStr">
        <is>
          <t>13268405116</t>
        </is>
      </c>
      <c r="G261" s="4" t="inlineStr">
        <is>
          <t>100m Kelebek</t>
        </is>
      </c>
      <c r="H261" s="4" t="inlineStr">
        <is>
          <t>1:11.47</t>
        </is>
      </c>
      <c r="I261" s="4" t="inlineStr">
        <is>
          <t>200m Karışık</t>
        </is>
      </c>
      <c r="J261" s="4" t="inlineStr">
        <is>
          <t>2:45.49</t>
        </is>
      </c>
      <c r="K261" s="4" t="inlineStr">
        <is>
          <t>200m Kelebek</t>
        </is>
      </c>
      <c r="L261" s="4" t="inlineStr">
        <is>
          <t>2:35.45</t>
        </is>
      </c>
      <c r="M261" s="4" t="inlineStr">
        <is>
          <t>400m Karışık</t>
        </is>
      </c>
      <c r="N261" s="4" t="inlineStr">
        <is>
          <t>5:48.05</t>
        </is>
      </c>
      <c r="P261" t="inlineStr">
        <is>
          <t>Mersin Gençlerbirliği Spor Kulübü</t>
        </is>
      </c>
      <c r="Q261" t="inlineStr">
        <is>
          <t>Mersin</t>
        </is>
      </c>
      <c r="R261">
        <f>Q261=B261</f>
        <v/>
      </c>
      <c r="T261">
        <f>MATCH(D261,[1]Manual!$A:$A,0)</f>
        <v/>
      </c>
    </row>
    <row r="262" ht="15.95" customHeight="1">
      <c r="A262" s="2" t="n">
        <v>261</v>
      </c>
      <c r="B262" s="2" t="inlineStr">
        <is>
          <t>Mersin</t>
        </is>
      </c>
      <c r="C262" s="3" t="inlineStr">
        <is>
          <t>Erkek</t>
        </is>
      </c>
      <c r="D262" s="3" t="inlineStr">
        <is>
          <t>Osman Ata KARADAĞ</t>
        </is>
      </c>
      <c r="E262" s="2" t="inlineStr">
        <is>
          <t>12</t>
        </is>
      </c>
      <c r="F262" s="2" t="inlineStr">
        <is>
          <t>50389871419</t>
        </is>
      </c>
      <c r="G262" s="2" t="inlineStr">
        <is>
          <t>1500m Serbest</t>
        </is>
      </c>
      <c r="H262" s="2" t="inlineStr">
        <is>
          <t>16:52.15</t>
        </is>
      </c>
      <c r="I262" s="2" t="inlineStr">
        <is>
          <t>200m Karışık</t>
        </is>
      </c>
      <c r="J262" s="2" t="inlineStr">
        <is>
          <t>2:17.60</t>
        </is>
      </c>
      <c r="K262" s="2" t="inlineStr">
        <is>
          <t>200m Kelebek</t>
        </is>
      </c>
      <c r="L262" s="2" t="inlineStr">
        <is>
          <t>2:14.08</t>
        </is>
      </c>
      <c r="M262" s="2" t="inlineStr">
        <is>
          <t>400m Karışık</t>
        </is>
      </c>
      <c r="N262" s="2" t="inlineStr">
        <is>
          <t>4:45.54</t>
        </is>
      </c>
      <c r="P262" t="inlineStr">
        <is>
          <t>Ted Mersin Koleji Spor Kulübü</t>
        </is>
      </c>
      <c r="Q262" t="inlineStr">
        <is>
          <t>Mersin</t>
        </is>
      </c>
      <c r="R262">
        <f>Q262=B262</f>
        <v/>
      </c>
      <c r="T262">
        <f>MATCH(D262,[1]Manual!$A:$A,0)</f>
        <v/>
      </c>
    </row>
    <row r="263" ht="15.95" customHeight="1">
      <c r="A263" s="4" t="n">
        <v>262</v>
      </c>
      <c r="B263" s="4" t="inlineStr">
        <is>
          <t>Mersin</t>
        </is>
      </c>
      <c r="C263" s="5" t="inlineStr">
        <is>
          <t>Erkek</t>
        </is>
      </c>
      <c r="D263" s="5" t="inlineStr">
        <is>
          <t>Poyraz Dere</t>
        </is>
      </c>
      <c r="E263" s="4" t="inlineStr">
        <is>
          <t>12</t>
        </is>
      </c>
      <c r="F263" s="4" t="inlineStr">
        <is>
          <t>75742025042</t>
        </is>
      </c>
      <c r="G263" s="4" t="inlineStr">
        <is>
          <t>400m Serbest</t>
        </is>
      </c>
      <c r="H263" s="4" t="inlineStr">
        <is>
          <t>4:30.51</t>
        </is>
      </c>
      <c r="I263" s="4" t="inlineStr">
        <is>
          <t>200m Sırtüstü</t>
        </is>
      </c>
      <c r="J263" s="4" t="inlineStr">
        <is>
          <t>2:26.73</t>
        </is>
      </c>
      <c r="K263" s="4" t="inlineStr">
        <is>
          <t>1500m Serbest</t>
        </is>
      </c>
      <c r="L263" s="4" t="inlineStr">
        <is>
          <t>17:58.83</t>
        </is>
      </c>
      <c r="M263" s="4" t="inlineStr">
        <is>
          <t>400m Karışık</t>
        </is>
      </c>
      <c r="N263" s="4" t="inlineStr">
        <is>
          <t>5:06.28</t>
        </is>
      </c>
      <c r="P263" t="inlineStr">
        <is>
          <t>Gelecek Gençlik Spor Kulübü</t>
        </is>
      </c>
      <c r="Q263" t="inlineStr">
        <is>
          <t>Mersin</t>
        </is>
      </c>
      <c r="R263">
        <f>Q263=B263</f>
        <v/>
      </c>
      <c r="T263">
        <f>MATCH(D263,[1]Manual!$A:$A,0)</f>
        <v/>
      </c>
    </row>
    <row r="264" ht="15.95" customHeight="1">
      <c r="A264" s="2" t="n">
        <v>263</v>
      </c>
      <c r="B264" s="2" t="inlineStr">
        <is>
          <t>Mersin</t>
        </is>
      </c>
      <c r="C264" s="3" t="inlineStr">
        <is>
          <t>Erkek</t>
        </is>
      </c>
      <c r="D264" s="3" t="inlineStr">
        <is>
          <t>Toprak URAL</t>
        </is>
      </c>
      <c r="E264" s="2" t="inlineStr">
        <is>
          <t>14</t>
        </is>
      </c>
      <c r="F264" s="2" t="inlineStr">
        <is>
          <t>41654167143</t>
        </is>
      </c>
      <c r="G264" s="2" t="inlineStr">
        <is>
          <t>400m Serbest</t>
        </is>
      </c>
      <c r="H264" s="2" t="inlineStr">
        <is>
          <t>5:05.19</t>
        </is>
      </c>
      <c r="I264" s="2" t="inlineStr">
        <is>
          <t>200m Karışık</t>
        </is>
      </c>
      <c r="J264" s="2" t="inlineStr">
        <is>
          <t>2:42.87</t>
        </is>
      </c>
      <c r="K264" s="2" t="inlineStr">
        <is>
          <t>800m Serbest</t>
        </is>
      </c>
      <c r="L264" s="2" t="inlineStr">
        <is>
          <t>10:29.10</t>
        </is>
      </c>
      <c r="M264" s="2" t="inlineStr">
        <is>
          <t>400m Karışık</t>
        </is>
      </c>
      <c r="N264" s="2" t="inlineStr">
        <is>
          <t>5:54.08</t>
        </is>
      </c>
      <c r="P264" t="inlineStr">
        <is>
          <t>Mersin Gençlerbirliği Spor Kulübü</t>
        </is>
      </c>
      <c r="Q264" t="inlineStr">
        <is>
          <t>Mersin</t>
        </is>
      </c>
      <c r="R264">
        <f>Q264=B264</f>
        <v/>
      </c>
      <c r="T264">
        <f>MATCH(D264,[1]Manual!$A:$A,0)</f>
        <v/>
      </c>
    </row>
    <row r="265" ht="15.95" customHeight="1">
      <c r="A265" s="4" t="n">
        <v>264</v>
      </c>
      <c r="B265" s="4" t="inlineStr">
        <is>
          <t>Mersin</t>
        </is>
      </c>
      <c r="C265" s="5" t="inlineStr">
        <is>
          <t>Erkek</t>
        </is>
      </c>
      <c r="D265" s="5" t="inlineStr">
        <is>
          <t>Yağız ALICI</t>
        </is>
      </c>
      <c r="E265" s="4" t="inlineStr">
        <is>
          <t>14</t>
        </is>
      </c>
      <c r="F265" s="4" t="inlineStr">
        <is>
          <t>34325413011</t>
        </is>
      </c>
      <c r="G265" s="4" t="inlineStr">
        <is>
          <t>1500m Serbest</t>
        </is>
      </c>
      <c r="H265" s="4" t="inlineStr">
        <is>
          <t>17:34.82</t>
        </is>
      </c>
      <c r="I265" s="4" t="inlineStr">
        <is>
          <t>200m Karışık</t>
        </is>
      </c>
      <c r="J265" s="4" t="inlineStr">
        <is>
          <t>2:24.16</t>
        </is>
      </c>
      <c r="K265" s="4" t="inlineStr">
        <is>
          <t>200m Kelebek</t>
        </is>
      </c>
      <c r="L265" s="4" t="inlineStr">
        <is>
          <t>2:24.25</t>
        </is>
      </c>
      <c r="M265" s="4" t="inlineStr">
        <is>
          <t>400m Karışık</t>
        </is>
      </c>
      <c r="N265" s="4" t="inlineStr">
        <is>
          <t>4:59.25</t>
        </is>
      </c>
      <c r="P265" t="inlineStr">
        <is>
          <t>Ted Mersin Koleji Spor Kulübü</t>
        </is>
      </c>
      <c r="Q265" t="inlineStr">
        <is>
          <t>Mersin</t>
        </is>
      </c>
      <c r="R265">
        <f>Q265=B265</f>
        <v/>
      </c>
      <c r="T265">
        <f>MATCH(D265,[1]Manual!$A:$A,0)</f>
        <v/>
      </c>
    </row>
    <row r="266" ht="15.95" customHeight="1">
      <c r="A266" s="2" t="n">
        <v>265</v>
      </c>
      <c r="B266" s="2" t="inlineStr">
        <is>
          <t>Mersin</t>
        </is>
      </c>
      <c r="C266" s="3" t="inlineStr">
        <is>
          <t>Erkek</t>
        </is>
      </c>
      <c r="D266" s="3" t="inlineStr">
        <is>
          <t>Yağız IŞILDAK</t>
        </is>
      </c>
      <c r="E266" s="2" t="inlineStr">
        <is>
          <t>13</t>
        </is>
      </c>
      <c r="F266" s="2" t="inlineStr">
        <is>
          <t>41437665818</t>
        </is>
      </c>
      <c r="G266" s="2" t="inlineStr">
        <is>
          <t>100m Kelebek</t>
        </is>
      </c>
      <c r="H266" s="2" t="inlineStr">
        <is>
          <t>1:10.09</t>
        </is>
      </c>
      <c r="I266" s="2" t="inlineStr">
        <is>
          <t>200m Karışık</t>
        </is>
      </c>
      <c r="J266" s="2" t="inlineStr">
        <is>
          <t>02:32.84</t>
        </is>
      </c>
      <c r="K266" s="2" t="inlineStr">
        <is>
          <t>200m Kelebek</t>
        </is>
      </c>
      <c r="L266" s="2" t="inlineStr">
        <is>
          <t>2:34.71</t>
        </is>
      </c>
      <c r="M266" s="2" t="inlineStr">
        <is>
          <t>400m Karışık</t>
        </is>
      </c>
      <c r="N266" s="2" t="inlineStr">
        <is>
          <t>5:23.09</t>
        </is>
      </c>
      <c r="P266" t="inlineStr">
        <is>
          <t>Mersin Gençlerbirliği Spor Kulübü</t>
        </is>
      </c>
      <c r="Q266" t="inlineStr">
        <is>
          <t>Mersin</t>
        </is>
      </c>
      <c r="R266">
        <f>Q266=B266</f>
        <v/>
      </c>
      <c r="T266">
        <f>MATCH(D266,[1]Manual!$A:$A,0)</f>
        <v/>
      </c>
    </row>
    <row r="267" ht="15.95" customHeight="1">
      <c r="A267" s="4" t="n">
        <v>266</v>
      </c>
      <c r="B267" s="4" t="inlineStr">
        <is>
          <t>Mersin</t>
        </is>
      </c>
      <c r="C267" s="5" t="inlineStr">
        <is>
          <t>Erkek</t>
        </is>
      </c>
      <c r="D267" s="5" t="inlineStr">
        <is>
          <t>Yusuf ZOPCUK</t>
        </is>
      </c>
      <c r="E267" s="4" t="inlineStr">
        <is>
          <t>14</t>
        </is>
      </c>
      <c r="F267" s="4" t="inlineStr">
        <is>
          <t>65545027010</t>
        </is>
      </c>
      <c r="G267" s="4" t="inlineStr">
        <is>
          <t>100m Kurbağalama</t>
        </is>
      </c>
      <c r="H267" s="4" t="inlineStr">
        <is>
          <t>1:27.86</t>
        </is>
      </c>
      <c r="I267" s="4" t="inlineStr">
        <is>
          <t>200m Karışık</t>
        </is>
      </c>
      <c r="J267" s="4" t="inlineStr">
        <is>
          <t>2:41.84</t>
        </is>
      </c>
      <c r="K267" s="4" t="inlineStr">
        <is>
          <t>200m Kurbağalama</t>
        </is>
      </c>
      <c r="L267" s="4" t="inlineStr">
        <is>
          <t>3:09.10</t>
        </is>
      </c>
      <c r="M267" s="4" t="inlineStr">
        <is>
          <t>400m Karışık</t>
        </is>
      </c>
      <c r="N267" s="4" t="inlineStr">
        <is>
          <t>5:37.16</t>
        </is>
      </c>
      <c r="P267" t="inlineStr">
        <is>
          <t>Mersin Gençlerbirliği Spor Kulübü</t>
        </is>
      </c>
      <c r="Q267" t="inlineStr">
        <is>
          <t>Mersin</t>
        </is>
      </c>
      <c r="R267">
        <f>Q267=B267</f>
        <v/>
      </c>
      <c r="T267">
        <f>MATCH(D267,[1]Manual!$A:$A,0)</f>
        <v/>
      </c>
    </row>
    <row r="268" ht="15.95" customHeight="1">
      <c r="A268" s="2" t="n">
        <v>267</v>
      </c>
      <c r="B268" s="2" t="inlineStr">
        <is>
          <t>Mersin</t>
        </is>
      </c>
      <c r="C268" s="3" t="inlineStr">
        <is>
          <t>Bayan</t>
        </is>
      </c>
      <c r="D268" s="3" t="inlineStr">
        <is>
          <t>Duru DEMİR</t>
        </is>
      </c>
      <c r="E268" s="2" t="inlineStr">
        <is>
          <t>14</t>
        </is>
      </c>
      <c r="F268" s="2" t="inlineStr">
        <is>
          <t>36860326913</t>
        </is>
      </c>
      <c r="G268" s="2" t="inlineStr">
        <is>
          <t>1500m Serbest</t>
        </is>
      </c>
      <c r="H268" s="2" t="inlineStr">
        <is>
          <t>20:04.07</t>
        </is>
      </c>
      <c r="I268" s="2" t="inlineStr">
        <is>
          <t>200m Kelebek</t>
        </is>
      </c>
      <c r="J268" s="2" t="inlineStr">
        <is>
          <t>2:45.45</t>
        </is>
      </c>
      <c r="K268" s="2" t="inlineStr">
        <is>
          <t>100m Kelebek</t>
        </is>
      </c>
      <c r="L268" s="2" t="inlineStr">
        <is>
          <t>1:13.46</t>
        </is>
      </c>
      <c r="M268" s="2" t="inlineStr">
        <is>
          <t>400m Karışık</t>
        </is>
      </c>
      <c r="N268" s="2" t="inlineStr">
        <is>
          <t>5:48.57</t>
        </is>
      </c>
      <c r="P268" t="inlineStr">
        <is>
          <t>Mersin Egitim Vakfi Toros Spor Kulübü</t>
        </is>
      </c>
      <c r="Q268" t="inlineStr">
        <is>
          <t>Mersin</t>
        </is>
      </c>
      <c r="R268">
        <f>Q268=B268</f>
        <v/>
      </c>
      <c r="T268">
        <f>MATCH(D268,[1]Manual!$A:$A,0)</f>
        <v/>
      </c>
    </row>
    <row r="269" ht="15.95" customHeight="1">
      <c r="A269" s="4" t="n">
        <v>268</v>
      </c>
      <c r="B269" s="8" t="inlineStr">
        <is>
          <t>Mersin</t>
        </is>
      </c>
      <c r="C269" s="5" t="inlineStr">
        <is>
          <t>Bayan</t>
        </is>
      </c>
      <c r="D269" s="5" t="inlineStr">
        <is>
          <t>Gökçe ÖZTÜRK</t>
        </is>
      </c>
      <c r="E269" s="4" t="inlineStr">
        <is>
          <t>10</t>
        </is>
      </c>
      <c r="F269" s="4" t="inlineStr">
        <is>
          <t>18551020983</t>
        </is>
      </c>
      <c r="G269" s="4" t="inlineStr">
        <is>
          <t>800m Serbest</t>
        </is>
      </c>
      <c r="H269" s="4" t="inlineStr">
        <is>
          <t>9:05.82</t>
        </is>
      </c>
      <c r="I269" s="4" t="inlineStr">
        <is>
          <t>1500m Serbest</t>
        </is>
      </c>
      <c r="J269" s="4" t="inlineStr">
        <is>
          <t>17:17.02</t>
        </is>
      </c>
      <c r="K269" s="4" t="n"/>
      <c r="L269" s="4" t="inlineStr">
        <is>
          <t>NT</t>
        </is>
      </c>
      <c r="M269" s="4" t="n"/>
      <c r="N269" s="4" t="inlineStr">
        <is>
          <t>NT</t>
        </is>
      </c>
      <c r="P269" s="6" t="inlineStr">
        <is>
          <t>Galatasaray Spor Kulübü</t>
        </is>
      </c>
      <c r="Q269" s="6" t="inlineStr">
        <is>
          <t>İstanbul</t>
        </is>
      </c>
      <c r="R269">
        <f>Q269=B269</f>
        <v/>
      </c>
      <c r="S269" s="9" t="inlineStr">
        <is>
          <t>Kulübü  Galatasaray ve İstanbul kulübü ama yaşadığı şehir Mersin, değiştirmeyelim Start listesine bakarız</t>
        </is>
      </c>
      <c r="T269">
        <f>MATCH(D269,[1]Manual!$A:$A,0)</f>
        <v/>
      </c>
    </row>
    <row r="270" ht="15.95" customHeight="1">
      <c r="A270" s="2" t="n">
        <v>269</v>
      </c>
      <c r="B270" s="2" t="inlineStr">
        <is>
          <t>Mersin</t>
        </is>
      </c>
      <c r="C270" s="3" t="inlineStr">
        <is>
          <t>Bayan</t>
        </is>
      </c>
      <c r="D270" s="3" t="inlineStr">
        <is>
          <t>Melodi DEMİREL</t>
        </is>
      </c>
      <c r="E270" s="2" t="inlineStr">
        <is>
          <t>12</t>
        </is>
      </c>
      <c r="F270" s="2" t="inlineStr">
        <is>
          <t>60592533918</t>
        </is>
      </c>
      <c r="G270" s="2" t="inlineStr">
        <is>
          <t>1500m Serbest</t>
        </is>
      </c>
      <c r="H270" s="2" t="inlineStr">
        <is>
          <t>18:09.19</t>
        </is>
      </c>
      <c r="I270" s="2" t="inlineStr">
        <is>
          <t>200m Karışık</t>
        </is>
      </c>
      <c r="J270" s="2" t="inlineStr">
        <is>
          <t>2:30.08</t>
        </is>
      </c>
      <c r="K270" s="2" t="inlineStr">
        <is>
          <t>200m Kelebek</t>
        </is>
      </c>
      <c r="L270" s="2" t="inlineStr">
        <is>
          <t>2:26.33</t>
        </is>
      </c>
      <c r="M270" s="2" t="inlineStr">
        <is>
          <t>400m Karışık</t>
        </is>
      </c>
      <c r="N270" s="2" t="inlineStr">
        <is>
          <t>5:11.78</t>
        </is>
      </c>
      <c r="P270" t="inlineStr">
        <is>
          <t>Ted Mersin Koleji Spor Kulübü</t>
        </is>
      </c>
      <c r="Q270" t="inlineStr">
        <is>
          <t>Mersin</t>
        </is>
      </c>
      <c r="R270">
        <f>Q270=B270</f>
        <v/>
      </c>
      <c r="T270">
        <f>MATCH(D270,[1]Manual!$A:$A,0)</f>
        <v/>
      </c>
    </row>
    <row r="271" ht="15.95" customHeight="1">
      <c r="A271" s="4" t="n">
        <v>270</v>
      </c>
      <c r="B271" s="4" t="inlineStr">
        <is>
          <t>Mersin</t>
        </is>
      </c>
      <c r="C271" s="5" t="inlineStr">
        <is>
          <t>Bayan</t>
        </is>
      </c>
      <c r="D271" s="5" t="inlineStr">
        <is>
          <t>Mira Nurgül ALTAY</t>
        </is>
      </c>
      <c r="E271" s="4" t="inlineStr">
        <is>
          <t>14</t>
        </is>
      </c>
      <c r="F271" s="4" t="inlineStr">
        <is>
          <t>14011307728</t>
        </is>
      </c>
      <c r="G271" s="4" t="inlineStr">
        <is>
          <t>200m Sırtüstü</t>
        </is>
      </c>
      <c r="H271" s="4" t="inlineStr">
        <is>
          <t>2:48.84</t>
        </is>
      </c>
      <c r="I271" s="4" t="inlineStr">
        <is>
          <t>200m Kurbağalama</t>
        </is>
      </c>
      <c r="J271" s="4" t="inlineStr">
        <is>
          <t>3:05.27</t>
        </is>
      </c>
      <c r="K271" s="4" t="inlineStr">
        <is>
          <t>100m Kurbağalama</t>
        </is>
      </c>
      <c r="L271" s="4" t="inlineStr">
        <is>
          <t>1:26.78</t>
        </is>
      </c>
      <c r="M271" s="4" t="inlineStr">
        <is>
          <t>200m Karışık</t>
        </is>
      </c>
      <c r="N271" s="4" t="inlineStr">
        <is>
          <t>2:47.33</t>
        </is>
      </c>
      <c r="P271" t="inlineStr">
        <is>
          <t>Mersin Gençlerbirliği Spor Kulübü</t>
        </is>
      </c>
      <c r="Q271" t="inlineStr">
        <is>
          <t>Mersin</t>
        </is>
      </c>
      <c r="R271">
        <f>Q271=B271</f>
        <v/>
      </c>
      <c r="T271">
        <f>MATCH(D271,[1]Manual!$A:$A,0)</f>
        <v/>
      </c>
    </row>
    <row r="272" ht="15.95" customHeight="1">
      <c r="A272" s="2" t="n">
        <v>271</v>
      </c>
      <c r="B272" s="2" t="inlineStr">
        <is>
          <t>Sakarya</t>
        </is>
      </c>
      <c r="C272" s="3" t="inlineStr">
        <is>
          <t>Erkek</t>
        </is>
      </c>
      <c r="D272" s="3" t="inlineStr">
        <is>
          <t>Kaan KAPTAN</t>
        </is>
      </c>
      <c r="E272" s="2" t="inlineStr">
        <is>
          <t>14</t>
        </is>
      </c>
      <c r="F272" s="2" t="inlineStr">
        <is>
          <t>39071001419</t>
        </is>
      </c>
      <c r="G272" s="2" t="inlineStr">
        <is>
          <t>100m Kelebek</t>
        </is>
      </c>
      <c r="H272" s="2" t="inlineStr">
        <is>
          <t>1:13.10</t>
        </is>
      </c>
      <c r="I272" s="2" t="inlineStr">
        <is>
          <t>200m Karışık</t>
        </is>
      </c>
      <c r="J272" s="2" t="inlineStr">
        <is>
          <t>2:43.58</t>
        </is>
      </c>
      <c r="K272" s="2" t="inlineStr">
        <is>
          <t>200m Kelebek</t>
        </is>
      </c>
      <c r="L272" s="2" t="inlineStr">
        <is>
          <t>2:39.39</t>
        </is>
      </c>
      <c r="M272" s="2" t="inlineStr">
        <is>
          <t>400m Karışık</t>
        </is>
      </c>
      <c r="N272" s="2" t="inlineStr">
        <is>
          <t>NT</t>
        </is>
      </c>
      <c r="P272" t="inlineStr">
        <is>
          <t>Altinkulac Yüzme Spor Kulübü</t>
        </is>
      </c>
      <c r="Q272" t="inlineStr">
        <is>
          <t>Sakarya</t>
        </is>
      </c>
      <c r="R272">
        <f>Q272=B272</f>
        <v/>
      </c>
      <c r="T272">
        <f>MATCH(D272,[1]Manual!$A:$A,0)</f>
        <v/>
      </c>
    </row>
    <row r="273" ht="15.95" customHeight="1">
      <c r="A273" s="4" t="n">
        <v>272</v>
      </c>
      <c r="B273" s="4" t="inlineStr">
        <is>
          <t>Sakarya</t>
        </is>
      </c>
      <c r="C273" s="5" t="inlineStr">
        <is>
          <t>Erkek</t>
        </is>
      </c>
      <c r="D273" s="5" t="inlineStr">
        <is>
          <t>Umut ŞEN</t>
        </is>
      </c>
      <c r="E273" s="4" t="inlineStr">
        <is>
          <t>10</t>
        </is>
      </c>
      <c r="F273" s="4" t="inlineStr">
        <is>
          <t>40193210557</t>
        </is>
      </c>
      <c r="G273" s="4" t="inlineStr">
        <is>
          <t>50m Serbest</t>
        </is>
      </c>
      <c r="H273" s="4" t="inlineStr">
        <is>
          <t>24.90</t>
        </is>
      </c>
      <c r="I273" s="4" t="inlineStr">
        <is>
          <t>200m Serbest</t>
        </is>
      </c>
      <c r="J273" s="4" t="inlineStr">
        <is>
          <t>2:01.53</t>
        </is>
      </c>
      <c r="K273" s="4" t="inlineStr">
        <is>
          <t>100m Serbest</t>
        </is>
      </c>
      <c r="L273" s="4" t="inlineStr">
        <is>
          <t>54.25</t>
        </is>
      </c>
      <c r="M273" s="4" t="inlineStr">
        <is>
          <t>50m Sırtüstü</t>
        </is>
      </c>
      <c r="N273" s="4" t="inlineStr">
        <is>
          <t>28.74</t>
        </is>
      </c>
      <c r="P273" s="12" t="inlineStr">
        <is>
          <t>Altinkulac Yüzme Spor Kulübü</t>
        </is>
      </c>
      <c r="Q273" s="12" t="inlineStr">
        <is>
          <t>Sakarya</t>
        </is>
      </c>
      <c r="R273">
        <f>Q273=B273</f>
        <v/>
      </c>
      <c r="T273">
        <f>MATCH(D273,[1]Manual!$A:$A,0)</f>
        <v/>
      </c>
    </row>
    <row r="274" ht="15.95" customHeight="1">
      <c r="A274" s="2" t="n">
        <v>273</v>
      </c>
      <c r="B274" s="2" t="inlineStr">
        <is>
          <t>Sakarya</t>
        </is>
      </c>
      <c r="C274" s="3" t="inlineStr">
        <is>
          <t>Erkek</t>
        </is>
      </c>
      <c r="D274" s="3" t="inlineStr">
        <is>
          <t>Yusuf BAYSAL</t>
        </is>
      </c>
      <c r="E274" s="2" t="inlineStr">
        <is>
          <t>14</t>
        </is>
      </c>
      <c r="F274" s="2" t="inlineStr">
        <is>
          <t>41573171782</t>
        </is>
      </c>
      <c r="G274" s="2" t="inlineStr">
        <is>
          <t>800m Serbest</t>
        </is>
      </c>
      <c r="H274" s="2" t="inlineStr">
        <is>
          <t>11:14.16</t>
        </is>
      </c>
      <c r="I274" s="2" t="inlineStr">
        <is>
          <t>100m Kelebek</t>
        </is>
      </c>
      <c r="J274" s="2" t="inlineStr">
        <is>
          <t>1:08.80</t>
        </is>
      </c>
      <c r="K274" s="2" t="inlineStr">
        <is>
          <t>1500m Serbest</t>
        </is>
      </c>
      <c r="L274" s="2" t="inlineStr">
        <is>
          <t>19:43.00</t>
        </is>
      </c>
      <c r="M274" s="2" t="inlineStr">
        <is>
          <t>200m Kelebek</t>
        </is>
      </c>
      <c r="N274" s="2" t="inlineStr">
        <is>
          <t>2:41.28</t>
        </is>
      </c>
      <c r="P274" t="inlineStr">
        <is>
          <t>Sakarya Aqua Spor Kulübü</t>
        </is>
      </c>
      <c r="Q274" t="inlineStr">
        <is>
          <t>Sakarya</t>
        </is>
      </c>
      <c r="R274">
        <f>Q274=B274</f>
        <v/>
      </c>
      <c r="T274">
        <f>MATCH(D274,[1]Manual!$A:$A,0)</f>
        <v/>
      </c>
    </row>
    <row r="275" ht="15.95" customHeight="1">
      <c r="A275" s="4" t="n">
        <v>274</v>
      </c>
      <c r="B275" s="4" t="inlineStr">
        <is>
          <t>Sakarya</t>
        </is>
      </c>
      <c r="C275" s="5" t="inlineStr">
        <is>
          <t>Bayan</t>
        </is>
      </c>
      <c r="D275" s="5" t="inlineStr">
        <is>
          <t>Ela Nira Çizer</t>
        </is>
      </c>
      <c r="E275" s="4" t="inlineStr">
        <is>
          <t>13</t>
        </is>
      </c>
      <c r="F275" s="4" t="inlineStr">
        <is>
          <t>15554655723</t>
        </is>
      </c>
      <c r="G275" s="4" t="inlineStr">
        <is>
          <t>200m Serbest</t>
        </is>
      </c>
      <c r="H275" s="4" t="inlineStr">
        <is>
          <t>2:22.07</t>
        </is>
      </c>
      <c r="I275" s="4" t="inlineStr">
        <is>
          <t>800m Serbest</t>
        </is>
      </c>
      <c r="J275" s="4" t="inlineStr">
        <is>
          <t>10:10.46</t>
        </is>
      </c>
      <c r="K275" s="4" t="inlineStr">
        <is>
          <t>400m Serbest</t>
        </is>
      </c>
      <c r="L275" s="4" t="inlineStr">
        <is>
          <t>4:56.30</t>
        </is>
      </c>
      <c r="M275" s="4" t="inlineStr">
        <is>
          <t>200m Karışık</t>
        </is>
      </c>
      <c r="N275" s="4" t="inlineStr">
        <is>
          <t>2:42.21</t>
        </is>
      </c>
      <c r="P275" t="inlineStr">
        <is>
          <t>Hendek Olimpik Spor Kulübü</t>
        </is>
      </c>
      <c r="Q275" t="inlineStr">
        <is>
          <t>Sakarya</t>
        </is>
      </c>
      <c r="R275">
        <f>Q275=B275</f>
        <v/>
      </c>
      <c r="T275">
        <f>MATCH(D275,[1]Manual!$A:$A,0)</f>
        <v/>
      </c>
    </row>
    <row r="276" ht="15.95" customHeight="1">
      <c r="A276" s="2" t="n">
        <v>275</v>
      </c>
      <c r="B276" s="2" t="inlineStr">
        <is>
          <t>Samsun</t>
        </is>
      </c>
      <c r="C276" s="3" t="inlineStr">
        <is>
          <t>Erkek</t>
        </is>
      </c>
      <c r="D276" s="3" t="inlineStr">
        <is>
          <t>Ali ÇOKÇETİN</t>
        </is>
      </c>
      <c r="E276" s="2" t="inlineStr">
        <is>
          <t>14</t>
        </is>
      </c>
      <c r="F276" s="2" t="inlineStr">
        <is>
          <t>46079014312</t>
        </is>
      </c>
      <c r="G276" s="2" t="inlineStr">
        <is>
          <t>100m Serbest</t>
        </is>
      </c>
      <c r="H276" s="2" t="inlineStr">
        <is>
          <t>1:01.41</t>
        </is>
      </c>
      <c r="I276" s="2" t="inlineStr">
        <is>
          <t>200m Sırtüstü</t>
        </is>
      </c>
      <c r="J276" s="2" t="inlineStr">
        <is>
          <t>2:27.30</t>
        </is>
      </c>
      <c r="K276" s="2" t="inlineStr">
        <is>
          <t>100m Sırtüstü</t>
        </is>
      </c>
      <c r="L276" s="2" t="inlineStr">
        <is>
          <t>1:08.25</t>
        </is>
      </c>
      <c r="M276" s="2" t="inlineStr">
        <is>
          <t>200m Karışık</t>
        </is>
      </c>
      <c r="N276" s="2" t="inlineStr">
        <is>
          <t>2:35.49</t>
        </is>
      </c>
      <c r="P276" s="6" t="inlineStr">
        <is>
          <t>Yıldız Su Sporları Spor Kulübü</t>
        </is>
      </c>
      <c r="Q276" t="inlineStr">
        <is>
          <t>Samsun</t>
        </is>
      </c>
      <c r="R276">
        <f>Q276=B276</f>
        <v/>
      </c>
      <c r="T276">
        <f>MATCH(D276,[1]Manual!$A:$A,0)</f>
        <v/>
      </c>
    </row>
    <row r="277" ht="15.95" customHeight="1">
      <c r="A277" s="4" t="n">
        <v>276</v>
      </c>
      <c r="B277" s="4" t="inlineStr">
        <is>
          <t>Samsun</t>
        </is>
      </c>
      <c r="C277" s="5" t="inlineStr">
        <is>
          <t>Erkek</t>
        </is>
      </c>
      <c r="D277" s="5" t="inlineStr">
        <is>
          <t>Alp AKAN</t>
        </is>
      </c>
      <c r="E277" s="4" t="inlineStr">
        <is>
          <t>11</t>
        </is>
      </c>
      <c r="F277" s="4" t="inlineStr">
        <is>
          <t>63079447654</t>
        </is>
      </c>
      <c r="G277" s="4" t="inlineStr">
        <is>
          <t>50m Serbest</t>
        </is>
      </c>
      <c r="H277" s="4" t="inlineStr">
        <is>
          <t>26.39</t>
        </is>
      </c>
      <c r="I277" s="4" t="inlineStr">
        <is>
          <t>50m Kelebek</t>
        </is>
      </c>
      <c r="J277" s="4" t="inlineStr">
        <is>
          <t>30.21</t>
        </is>
      </c>
      <c r="K277" s="4" t="inlineStr">
        <is>
          <t>100m Serbest</t>
        </is>
      </c>
      <c r="L277" s="4" t="inlineStr">
        <is>
          <t>56.71</t>
        </is>
      </c>
      <c r="M277" s="4" t="inlineStr">
        <is>
          <t>100m Kelebek</t>
        </is>
      </c>
      <c r="N277" s="4" t="inlineStr">
        <is>
          <t>1:07.81</t>
        </is>
      </c>
      <c r="P277" t="inlineStr">
        <is>
          <t>Samsun Su Sporları Spor Kulübü</t>
        </is>
      </c>
      <c r="Q277" t="inlineStr">
        <is>
          <t>Samsun</t>
        </is>
      </c>
      <c r="R277">
        <f>Q277=B277</f>
        <v/>
      </c>
      <c r="T277">
        <f>MATCH(D277,[1]Manual!$A:$A,0)</f>
        <v/>
      </c>
    </row>
    <row r="278" ht="15.95" customHeight="1">
      <c r="A278" s="2" t="n">
        <v>277</v>
      </c>
      <c r="B278" s="8" t="inlineStr">
        <is>
          <t>Samsun</t>
        </is>
      </c>
      <c r="C278" s="3" t="inlineStr">
        <is>
          <t>Erkek</t>
        </is>
      </c>
      <c r="D278" s="3" t="inlineStr">
        <is>
          <t>Alper ALİKAN</t>
        </is>
      </c>
      <c r="E278" s="2" t="inlineStr">
        <is>
          <t>09</t>
        </is>
      </c>
      <c r="F278" s="2" t="inlineStr">
        <is>
          <t>19034916550</t>
        </is>
      </c>
      <c r="G278" s="2" t="inlineStr">
        <is>
          <t>50m Kurbağalama</t>
        </is>
      </c>
      <c r="H278" s="2" t="inlineStr">
        <is>
          <t>30.67</t>
        </is>
      </c>
      <c r="I278" s="2" t="inlineStr">
        <is>
          <t>200m Kurbağalama</t>
        </is>
      </c>
      <c r="J278" s="2" t="inlineStr">
        <is>
          <t>2:21.07</t>
        </is>
      </c>
      <c r="K278" s="2" t="inlineStr">
        <is>
          <t>100m Kurbağalama</t>
        </is>
      </c>
      <c r="L278" s="2" t="inlineStr">
        <is>
          <t>1:06.84</t>
        </is>
      </c>
      <c r="M278" s="2" t="inlineStr">
        <is>
          <t>400m Karışık</t>
        </is>
      </c>
      <c r="N278" s="2" t="inlineStr">
        <is>
          <t>4:56.91</t>
        </is>
      </c>
      <c r="P278" s="6" t="inlineStr">
        <is>
          <t>Galatasaray Spor Kulübü</t>
        </is>
      </c>
      <c r="Q278" s="6" t="inlineStr">
        <is>
          <t>İstanbul</t>
        </is>
      </c>
      <c r="R278">
        <f>Q278=B278</f>
        <v/>
      </c>
      <c r="S278" s="9" t="inlineStr">
        <is>
          <t>Kulübü  Galatasaray ve İstanbul kulübü ama yaşadığı şehir Samsun, değiştirmeyelim Start listesine bakarız</t>
        </is>
      </c>
      <c r="T278">
        <f>MATCH(D278,[1]Manual!$A:$A,0)</f>
        <v/>
      </c>
    </row>
    <row r="279" ht="15.95" customHeight="1">
      <c r="A279" s="4" t="n">
        <v>278</v>
      </c>
      <c r="B279" s="4" t="inlineStr">
        <is>
          <t>Samsun</t>
        </is>
      </c>
      <c r="C279" s="5" t="inlineStr">
        <is>
          <t>Erkek</t>
        </is>
      </c>
      <c r="D279" s="5" t="inlineStr">
        <is>
          <t>Aras İPEK</t>
        </is>
      </c>
      <c r="E279" s="4" t="inlineStr">
        <is>
          <t>12</t>
        </is>
      </c>
      <c r="F279" s="4" t="inlineStr">
        <is>
          <t>63631432157</t>
        </is>
      </c>
      <c r="G279" s="4" t="inlineStr">
        <is>
          <t>50m Kurbağalama</t>
        </is>
      </c>
      <c r="H279" s="4" t="inlineStr">
        <is>
          <t>32.48</t>
        </is>
      </c>
      <c r="I279" s="4" t="inlineStr">
        <is>
          <t>200m Kurbağalama</t>
        </is>
      </c>
      <c r="J279" s="4" t="inlineStr">
        <is>
          <t>2:44.33</t>
        </is>
      </c>
      <c r="K279" s="4" t="inlineStr">
        <is>
          <t>100m Kurbağalama</t>
        </is>
      </c>
      <c r="L279" s="4" t="inlineStr">
        <is>
          <t>1:13.33</t>
        </is>
      </c>
      <c r="M279" s="4" t="inlineStr">
        <is>
          <t>200m Karışık</t>
        </is>
      </c>
      <c r="N279" s="4" t="inlineStr">
        <is>
          <t>2:25.57</t>
        </is>
      </c>
      <c r="P279" s="12" t="inlineStr">
        <is>
          <t>Samsun Su Sporları Spor Kulübü</t>
        </is>
      </c>
      <c r="Q279" s="12" t="inlineStr">
        <is>
          <t>Samsun</t>
        </is>
      </c>
      <c r="R279">
        <f>Q279=B279</f>
        <v/>
      </c>
      <c r="T279">
        <f>MATCH(D279,[1]Manual!$A:$A,0)</f>
        <v/>
      </c>
    </row>
    <row r="280" ht="15.95" customHeight="1">
      <c r="A280" s="2" t="n">
        <v>279</v>
      </c>
      <c r="B280" s="8" t="inlineStr">
        <is>
          <t>Samsun</t>
        </is>
      </c>
      <c r="C280" s="3" t="inlineStr">
        <is>
          <t>Erkek</t>
        </is>
      </c>
      <c r="D280" s="3" t="inlineStr">
        <is>
          <t>Aydın Efe KÜÇÜK</t>
        </is>
      </c>
      <c r="E280" s="2" t="inlineStr">
        <is>
          <t>09</t>
        </is>
      </c>
      <c r="F280" s="2" t="inlineStr">
        <is>
          <t>71302173513</t>
        </is>
      </c>
      <c r="G280" s="2" t="inlineStr">
        <is>
          <t>100m Serbest</t>
        </is>
      </c>
      <c r="H280" s="2" t="inlineStr">
        <is>
          <t>54.25</t>
        </is>
      </c>
      <c r="I280" s="2" t="inlineStr">
        <is>
          <t>400m Serbest</t>
        </is>
      </c>
      <c r="J280" s="2" t="inlineStr">
        <is>
          <t>4:07.63</t>
        </is>
      </c>
      <c r="K280" s="2" t="inlineStr">
        <is>
          <t>200m Serbest</t>
        </is>
      </c>
      <c r="L280" s="2" t="inlineStr">
        <is>
          <t>1:56.59</t>
        </is>
      </c>
      <c r="M280" s="2" t="inlineStr">
        <is>
          <t>800m Serbest</t>
        </is>
      </c>
      <c r="N280" s="2" t="inlineStr">
        <is>
          <t>8:26.02</t>
        </is>
      </c>
      <c r="P280" s="6" t="inlineStr">
        <is>
          <t>Galatasaray Spor Kulübü</t>
        </is>
      </c>
      <c r="Q280" s="6" t="inlineStr">
        <is>
          <t>İstanbul</t>
        </is>
      </c>
      <c r="R280">
        <f>Q280=B280</f>
        <v/>
      </c>
      <c r="S280" s="9" t="inlineStr">
        <is>
          <t>Kulübü  Galatasaray ve İstanbul kulübü ama yaşadığı şehir Samsun, değiştirmeyelim Start listesine bakarız</t>
        </is>
      </c>
      <c r="T280">
        <f>MATCH(D280,[1]Manual!$A:$A,0)</f>
        <v/>
      </c>
    </row>
    <row r="281" ht="15.95" customHeight="1">
      <c r="A281" s="4" t="n">
        <v>280</v>
      </c>
      <c r="B281" s="4" t="inlineStr">
        <is>
          <t>Samsun</t>
        </is>
      </c>
      <c r="C281" s="5" t="inlineStr">
        <is>
          <t>Erkek</t>
        </is>
      </c>
      <c r="D281" s="5" t="inlineStr">
        <is>
          <t>Doğu İPEK</t>
        </is>
      </c>
      <c r="E281" s="4" t="inlineStr">
        <is>
          <t>14</t>
        </is>
      </c>
      <c r="F281" s="4" t="inlineStr">
        <is>
          <t>66130352428</t>
        </is>
      </c>
      <c r="G281" s="4" t="inlineStr">
        <is>
          <t>200m Serbest</t>
        </is>
      </c>
      <c r="H281" s="4" t="inlineStr">
        <is>
          <t>2:28.34</t>
        </is>
      </c>
      <c r="I281" s="4" t="inlineStr">
        <is>
          <t>100m Kurbağalama</t>
        </is>
      </c>
      <c r="J281" s="4" t="inlineStr">
        <is>
          <t>1:54.38</t>
        </is>
      </c>
      <c r="K281" s="4" t="inlineStr">
        <is>
          <t>100m Sırtüstü</t>
        </is>
      </c>
      <c r="L281" s="4" t="inlineStr">
        <is>
          <t>1:16.31</t>
        </is>
      </c>
      <c r="M281" s="4" t="inlineStr">
        <is>
          <t>200m Karışık</t>
        </is>
      </c>
      <c r="N281" s="4" t="inlineStr">
        <is>
          <t>2:44.43</t>
        </is>
      </c>
      <c r="P281" s="6" t="inlineStr">
        <is>
          <t>Yıldız Su Sporları Spor Kulübü</t>
        </is>
      </c>
      <c r="Q281" s="6" t="inlineStr">
        <is>
          <t>Samsun</t>
        </is>
      </c>
      <c r="R281">
        <f>Q281=B281</f>
        <v/>
      </c>
      <c r="T281">
        <f>MATCH(D281,[1]Manual!$A:$A,0)</f>
        <v/>
      </c>
    </row>
    <row r="282" ht="15.95" customHeight="1">
      <c r="A282" s="2" t="n">
        <v>281</v>
      </c>
      <c r="B282" s="2" t="inlineStr">
        <is>
          <t>Samsun</t>
        </is>
      </c>
      <c r="C282" s="3" t="inlineStr">
        <is>
          <t>Erkek</t>
        </is>
      </c>
      <c r="D282" s="3" t="inlineStr">
        <is>
          <t>Hamza OTLAK</t>
        </is>
      </c>
      <c r="E282" s="2" t="inlineStr">
        <is>
          <t>14</t>
        </is>
      </c>
      <c r="F282" s="2" t="inlineStr">
        <is>
          <t>56359678110</t>
        </is>
      </c>
      <c r="G282" s="2" t="inlineStr">
        <is>
          <t>100m Sırtüstü</t>
        </is>
      </c>
      <c r="H282" s="2" t="inlineStr">
        <is>
          <t>1:24.63</t>
        </is>
      </c>
      <c r="I282" s="2" t="inlineStr">
        <is>
          <t>100m Kelebek</t>
        </is>
      </c>
      <c r="J282" s="2" t="inlineStr">
        <is>
          <t>1:11.69</t>
        </is>
      </c>
      <c r="K282" s="2" t="inlineStr">
        <is>
          <t>100m Kurbağalama</t>
        </is>
      </c>
      <c r="L282" s="2" t="inlineStr">
        <is>
          <t>1:37.10</t>
        </is>
      </c>
      <c r="M282" s="2" t="inlineStr">
        <is>
          <t>200m Karışık</t>
        </is>
      </c>
      <c r="N282" s="2" t="inlineStr">
        <is>
          <t>2:40.63</t>
        </is>
      </c>
      <c r="P282" t="inlineStr">
        <is>
          <t>Samsun Su Sporları Spor Kulübü</t>
        </is>
      </c>
      <c r="Q282" t="inlineStr">
        <is>
          <t>Samsun</t>
        </is>
      </c>
      <c r="R282">
        <f>Q282=B282</f>
        <v/>
      </c>
      <c r="T282">
        <f>MATCH(D282,[1]Manual!$A:$A,0)</f>
        <v/>
      </c>
    </row>
    <row r="283" ht="15.95" customHeight="1">
      <c r="A283" s="4" t="n">
        <v>282</v>
      </c>
      <c r="B283" s="4" t="inlineStr">
        <is>
          <t>Samsun</t>
        </is>
      </c>
      <c r="C283" s="5" t="inlineStr">
        <is>
          <t>Erkek</t>
        </is>
      </c>
      <c r="D283" s="5" t="inlineStr">
        <is>
          <t>İsmail OTLAK</t>
        </is>
      </c>
      <c r="E283" s="4" t="inlineStr">
        <is>
          <t>13</t>
        </is>
      </c>
      <c r="F283" s="4" t="inlineStr">
        <is>
          <t>13752098318</t>
        </is>
      </c>
      <c r="G283" s="4" t="inlineStr">
        <is>
          <t>100m Sırtüstü</t>
        </is>
      </c>
      <c r="H283" s="4" t="inlineStr">
        <is>
          <t>1:08.70</t>
        </is>
      </c>
      <c r="I283" s="4" t="inlineStr">
        <is>
          <t>100m Kelebek</t>
        </is>
      </c>
      <c r="J283" s="4" t="inlineStr">
        <is>
          <t>1:07.19</t>
        </is>
      </c>
      <c r="K283" s="4" t="inlineStr">
        <is>
          <t>200m Sırtüstü</t>
        </is>
      </c>
      <c r="L283" s="4" t="inlineStr">
        <is>
          <t>2:30.08</t>
        </is>
      </c>
      <c r="M283" s="4" t="inlineStr">
        <is>
          <t>200m Karışık</t>
        </is>
      </c>
      <c r="N283" s="4" t="inlineStr">
        <is>
          <t>2:30.88</t>
        </is>
      </c>
      <c r="P283" t="inlineStr">
        <is>
          <t>Samsun Su Sporları Spor Kulübü</t>
        </is>
      </c>
      <c r="Q283" t="inlineStr">
        <is>
          <t>Samsun</t>
        </is>
      </c>
      <c r="R283">
        <f>Q283=B283</f>
        <v/>
      </c>
      <c r="T283">
        <f>MATCH(D283,[1]Manual!$A:$A,0)</f>
        <v/>
      </c>
    </row>
    <row r="284" ht="15.95" customHeight="1">
      <c r="A284" s="2" t="n">
        <v>283</v>
      </c>
      <c r="B284" s="2" t="inlineStr">
        <is>
          <t>Samsun</t>
        </is>
      </c>
      <c r="C284" s="3" t="inlineStr">
        <is>
          <t>Erkek</t>
        </is>
      </c>
      <c r="D284" s="3" t="inlineStr">
        <is>
          <t>Murat Emir ATA</t>
        </is>
      </c>
      <c r="E284" s="2" t="inlineStr">
        <is>
          <t>13</t>
        </is>
      </c>
      <c r="F284" s="2" t="inlineStr">
        <is>
          <t>52828789314</t>
        </is>
      </c>
      <c r="G284" s="2" t="inlineStr">
        <is>
          <t>100m Kurbağalama</t>
        </is>
      </c>
      <c r="H284" s="2" t="inlineStr">
        <is>
          <t>1:13.62</t>
        </is>
      </c>
      <c r="I284" s="2" t="inlineStr">
        <is>
          <t>200m Karışık</t>
        </is>
      </c>
      <c r="J284" s="2" t="inlineStr">
        <is>
          <t>2:26.91</t>
        </is>
      </c>
      <c r="K284" s="2" t="inlineStr">
        <is>
          <t>200m Kurbağalama</t>
        </is>
      </c>
      <c r="L284" s="2" t="inlineStr">
        <is>
          <t>2:43.71</t>
        </is>
      </c>
      <c r="M284" s="2" t="inlineStr">
        <is>
          <t>400m Karışık</t>
        </is>
      </c>
      <c r="N284" s="2" t="inlineStr">
        <is>
          <t>5:13.43</t>
        </is>
      </c>
      <c r="P284" t="inlineStr">
        <is>
          <t>Temel Su Sporları Spor Kulübü</t>
        </is>
      </c>
      <c r="Q284" t="inlineStr">
        <is>
          <t>Samsun</t>
        </is>
      </c>
      <c r="R284">
        <f>Q284=B284</f>
        <v/>
      </c>
      <c r="T284">
        <f>MATCH(D284,[1]Manual!$A:$A,0)</f>
        <v/>
      </c>
    </row>
    <row r="285" ht="15.95" customHeight="1">
      <c r="A285" s="4" t="n">
        <v>284</v>
      </c>
      <c r="B285" s="4" t="inlineStr">
        <is>
          <t>Samsun</t>
        </is>
      </c>
      <c r="C285" s="5" t="inlineStr">
        <is>
          <t>Erkek</t>
        </is>
      </c>
      <c r="D285" s="5" t="inlineStr">
        <is>
          <t>Orhan Eray ŞENYILDIZ</t>
        </is>
      </c>
      <c r="E285" s="4" t="inlineStr">
        <is>
          <t>11</t>
        </is>
      </c>
      <c r="F285" s="4" t="inlineStr">
        <is>
          <t>30755528623</t>
        </is>
      </c>
      <c r="G285" s="4" t="inlineStr">
        <is>
          <t>200m Serbest</t>
        </is>
      </c>
      <c r="H285" s="4" t="inlineStr">
        <is>
          <t>2:14.22</t>
        </is>
      </c>
      <c r="I285" s="4" t="inlineStr">
        <is>
          <t>100m Kurbağalama</t>
        </is>
      </c>
      <c r="J285" s="4" t="inlineStr">
        <is>
          <t>1:09.94</t>
        </is>
      </c>
      <c r="K285" s="4" t="inlineStr">
        <is>
          <t>50m Kurbağalama</t>
        </is>
      </c>
      <c r="L285" s="4" t="inlineStr">
        <is>
          <t>32.37</t>
        </is>
      </c>
      <c r="M285" s="4" t="inlineStr">
        <is>
          <t>200m Kurbağalama</t>
        </is>
      </c>
      <c r="N285" s="4" t="inlineStr">
        <is>
          <t>2:33.65</t>
        </is>
      </c>
      <c r="P285" s="6" t="inlineStr">
        <is>
          <t>Yıldız Su Sporları Spor Kulübü</t>
        </is>
      </c>
      <c r="Q285" t="inlineStr">
        <is>
          <t>Samsun</t>
        </is>
      </c>
      <c r="R285">
        <f>Q285=B285</f>
        <v/>
      </c>
      <c r="T285">
        <f>MATCH(D285,[1]Manual!$A:$A,0)</f>
        <v/>
      </c>
    </row>
    <row r="286" ht="15.95" customHeight="1">
      <c r="A286" s="2" t="n">
        <v>285</v>
      </c>
      <c r="B286" s="2" t="inlineStr">
        <is>
          <t>Samsun</t>
        </is>
      </c>
      <c r="C286" s="3" t="inlineStr">
        <is>
          <t>Erkek</t>
        </is>
      </c>
      <c r="D286" s="3" t="inlineStr">
        <is>
          <t>Poyraz KAYA</t>
        </is>
      </c>
      <c r="E286" s="2" t="inlineStr">
        <is>
          <t>14</t>
        </is>
      </c>
      <c r="F286" s="2" t="inlineStr">
        <is>
          <t>29971884915</t>
        </is>
      </c>
      <c r="G286" s="2" t="inlineStr">
        <is>
          <t>100m Serbest</t>
        </is>
      </c>
      <c r="H286" s="2" t="inlineStr">
        <is>
          <t>1:03.42</t>
        </is>
      </c>
      <c r="I286" s="2" t="inlineStr">
        <is>
          <t>400m Serbest</t>
        </is>
      </c>
      <c r="J286" s="2" t="inlineStr">
        <is>
          <t>4:49.84</t>
        </is>
      </c>
      <c r="K286" s="2" t="inlineStr">
        <is>
          <t>200m Serbest</t>
        </is>
      </c>
      <c r="L286" s="2" t="inlineStr">
        <is>
          <t>2:20.17</t>
        </is>
      </c>
      <c r="M286" s="2" t="inlineStr">
        <is>
          <t>200m Karışık</t>
        </is>
      </c>
      <c r="N286" s="2" t="inlineStr">
        <is>
          <t>2:43.57</t>
        </is>
      </c>
      <c r="P286" s="6" t="inlineStr">
        <is>
          <t>Yıldız Su Sporları Spor Kulübü</t>
        </is>
      </c>
      <c r="Q286" t="inlineStr">
        <is>
          <t>Samsun</t>
        </is>
      </c>
      <c r="R286">
        <f>Q286=B286</f>
        <v/>
      </c>
      <c r="T286">
        <f>MATCH(D286,[1]Manual!$A:$A,0)</f>
        <v/>
      </c>
    </row>
    <row r="287" ht="15.95" customHeight="1">
      <c r="A287" s="4" t="n">
        <v>286</v>
      </c>
      <c r="B287" s="4" t="inlineStr">
        <is>
          <t>Samsun</t>
        </is>
      </c>
      <c r="C287" s="5" t="inlineStr">
        <is>
          <t>Erkek</t>
        </is>
      </c>
      <c r="D287" s="5" t="inlineStr">
        <is>
          <t>Taha BAŞ</t>
        </is>
      </c>
      <c r="E287" s="4" t="inlineStr">
        <is>
          <t>14</t>
        </is>
      </c>
      <c r="F287" s="4" t="inlineStr">
        <is>
          <t>61153291820</t>
        </is>
      </c>
      <c r="G287" s="4" t="inlineStr">
        <is>
          <t>200m Serbest</t>
        </is>
      </c>
      <c r="H287" s="4" t="inlineStr">
        <is>
          <t>2:22.79</t>
        </is>
      </c>
      <c r="I287" s="4" t="inlineStr">
        <is>
          <t>100m Sırtüstü</t>
        </is>
      </c>
      <c r="J287" s="4" t="inlineStr">
        <is>
          <t>1:15.40</t>
        </is>
      </c>
      <c r="K287" s="4" t="inlineStr">
        <is>
          <t>400m Serbest</t>
        </is>
      </c>
      <c r="L287" s="4" t="inlineStr">
        <is>
          <t>5:04.01</t>
        </is>
      </c>
      <c r="M287" s="4" t="inlineStr">
        <is>
          <t>200m Karışık</t>
        </is>
      </c>
      <c r="N287" s="4" t="inlineStr">
        <is>
          <t>2:43.03</t>
        </is>
      </c>
      <c r="P287" t="inlineStr">
        <is>
          <t>Sure Yüzme Spor Kulübü</t>
        </is>
      </c>
      <c r="Q287" t="inlineStr">
        <is>
          <t>Samsun</t>
        </is>
      </c>
      <c r="R287">
        <f>Q287=B287</f>
        <v/>
      </c>
      <c r="T287">
        <f>MATCH(D287,[1]Manual!$A:$A,0)</f>
        <v/>
      </c>
    </row>
    <row r="288" ht="15.95" customHeight="1">
      <c r="A288" s="2" t="n">
        <v>287</v>
      </c>
      <c r="B288" s="2" t="inlineStr">
        <is>
          <t>Samsun</t>
        </is>
      </c>
      <c r="C288" s="3" t="inlineStr">
        <is>
          <t>Erkek</t>
        </is>
      </c>
      <c r="D288" s="3" t="inlineStr">
        <is>
          <t>Tolga ABBASOV</t>
        </is>
      </c>
      <c r="E288" s="2" t="inlineStr">
        <is>
          <t>14</t>
        </is>
      </c>
      <c r="F288" s="2" t="inlineStr">
        <is>
          <t>72874129416</t>
        </is>
      </c>
      <c r="G288" s="2" t="inlineStr">
        <is>
          <t>100m Serbest</t>
        </is>
      </c>
      <c r="H288" s="2" t="inlineStr">
        <is>
          <t>1:09.62</t>
        </is>
      </c>
      <c r="I288" s="2" t="inlineStr">
        <is>
          <t>100m Sırtüstü</t>
        </is>
      </c>
      <c r="J288" s="2" t="inlineStr">
        <is>
          <t>1:17.75</t>
        </is>
      </c>
      <c r="K288" s="2" t="inlineStr">
        <is>
          <t>400m Serbest</t>
        </is>
      </c>
      <c r="L288" s="2" t="inlineStr">
        <is>
          <t>5:40.99</t>
        </is>
      </c>
      <c r="M288" s="2" t="inlineStr">
        <is>
          <t>200m Sırtüstü</t>
        </is>
      </c>
      <c r="N288" s="2" t="inlineStr">
        <is>
          <t>2:41.05</t>
        </is>
      </c>
      <c r="P288" t="inlineStr">
        <is>
          <t>Samsun Su Sporları Spor Kulübü</t>
        </is>
      </c>
      <c r="Q288" t="inlineStr">
        <is>
          <t>Samsun</t>
        </is>
      </c>
      <c r="R288">
        <f>Q288=B288</f>
        <v/>
      </c>
      <c r="T288">
        <f>MATCH(D288,[1]Manual!$A:$A,0)</f>
        <v/>
      </c>
    </row>
    <row r="289" ht="15.95" customHeight="1">
      <c r="A289" s="4" t="n">
        <v>288</v>
      </c>
      <c r="B289" s="4" t="inlineStr">
        <is>
          <t>Samsun</t>
        </is>
      </c>
      <c r="C289" s="5" t="inlineStr">
        <is>
          <t>Erkek</t>
        </is>
      </c>
      <c r="D289" s="5" t="inlineStr">
        <is>
          <t>Tuğrul ÖZBAY</t>
        </is>
      </c>
      <c r="E289" s="4" t="inlineStr">
        <is>
          <t>11</t>
        </is>
      </c>
      <c r="F289" s="4" t="inlineStr">
        <is>
          <t>60775524452</t>
        </is>
      </c>
      <c r="G289" s="4" t="inlineStr">
        <is>
          <t>50m Kurbağalama</t>
        </is>
      </c>
      <c r="H289" s="4" t="inlineStr">
        <is>
          <t>32.39</t>
        </is>
      </c>
      <c r="I289" s="4" t="inlineStr">
        <is>
          <t>200m Kurbağalama</t>
        </is>
      </c>
      <c r="J289" s="4" t="inlineStr">
        <is>
          <t>2:30.53</t>
        </is>
      </c>
      <c r="K289" s="4" t="inlineStr">
        <is>
          <t>100m Kurbağalama</t>
        </is>
      </c>
      <c r="L289" s="4" t="inlineStr">
        <is>
          <t>1:09.95</t>
        </is>
      </c>
      <c r="M289" s="4" t="inlineStr">
        <is>
          <t>200m Karışık</t>
        </is>
      </c>
      <c r="N289" s="4" t="inlineStr">
        <is>
          <t>2:20.59</t>
        </is>
      </c>
      <c r="P289" t="inlineStr">
        <is>
          <t>Samsun Su Sporları Spor Kulübü</t>
        </is>
      </c>
      <c r="Q289" t="inlineStr">
        <is>
          <t>Samsun</t>
        </is>
      </c>
      <c r="R289">
        <f>Q289=B289</f>
        <v/>
      </c>
      <c r="T289">
        <f>MATCH(D289,[1]Manual!$A:$A,0)</f>
        <v/>
      </c>
    </row>
    <row r="290" ht="15.95" customHeight="1">
      <c r="A290" s="2" t="n">
        <v>289</v>
      </c>
      <c r="B290" s="2" t="inlineStr">
        <is>
          <t>Samsun</t>
        </is>
      </c>
      <c r="C290" s="3" t="inlineStr">
        <is>
          <t>Erkek</t>
        </is>
      </c>
      <c r="D290" s="3" t="inlineStr">
        <is>
          <t>Yusuf KÖSE</t>
        </is>
      </c>
      <c r="E290" s="2" t="inlineStr">
        <is>
          <t>10</t>
        </is>
      </c>
      <c r="F290" s="2" t="inlineStr">
        <is>
          <t>21916043915</t>
        </is>
      </c>
      <c r="G290" s="2" t="inlineStr">
        <is>
          <t>100m Serbest</t>
        </is>
      </c>
      <c r="H290" s="2" t="inlineStr">
        <is>
          <t>55.71</t>
        </is>
      </c>
      <c r="I290" s="2" t="inlineStr">
        <is>
          <t>400m Serbest</t>
        </is>
      </c>
      <c r="J290" s="2" t="inlineStr">
        <is>
          <t>4:12.99</t>
        </is>
      </c>
      <c r="K290" s="2" t="inlineStr">
        <is>
          <t>200m Serbest</t>
        </is>
      </c>
      <c r="L290" s="2" t="inlineStr">
        <is>
          <t>1:59.56</t>
        </is>
      </c>
      <c r="M290" s="2" t="inlineStr">
        <is>
          <t>800m Serbest</t>
        </is>
      </c>
      <c r="N290" s="2" t="inlineStr">
        <is>
          <t>8:41.84</t>
        </is>
      </c>
      <c r="P290" s="6" t="inlineStr">
        <is>
          <t>Yıldız Su Sporları Spor Kulübü</t>
        </is>
      </c>
      <c r="Q290" s="6" t="inlineStr">
        <is>
          <t>Samsun</t>
        </is>
      </c>
      <c r="R290">
        <f>Q290=B290</f>
        <v/>
      </c>
      <c r="T290">
        <f>MATCH(D290,[1]Manual!$A:$A,0)</f>
        <v/>
      </c>
    </row>
    <row r="291" ht="15.95" customHeight="1">
      <c r="A291" s="4" t="n">
        <v>290</v>
      </c>
      <c r="B291" s="4" t="inlineStr">
        <is>
          <t>Samsun</t>
        </is>
      </c>
      <c r="C291" s="5" t="inlineStr">
        <is>
          <t>Erkek</t>
        </is>
      </c>
      <c r="D291" s="5" t="inlineStr">
        <is>
          <t>Çetin Çağrı AKBAL</t>
        </is>
      </c>
      <c r="E291" s="4" t="inlineStr">
        <is>
          <t>13</t>
        </is>
      </c>
      <c r="F291" s="4" t="inlineStr">
        <is>
          <t>29483572610</t>
        </is>
      </c>
      <c r="G291" s="4" t="inlineStr">
        <is>
          <t>100m Sırtüstü</t>
        </is>
      </c>
      <c r="H291" s="4" t="inlineStr">
        <is>
          <t>1:12.90</t>
        </is>
      </c>
      <c r="I291" s="4" t="inlineStr">
        <is>
          <t>200m Kelebek</t>
        </is>
      </c>
      <c r="J291" s="4" t="inlineStr">
        <is>
          <t>2:29.93</t>
        </is>
      </c>
      <c r="K291" s="4" t="inlineStr">
        <is>
          <t>100m Kelebek</t>
        </is>
      </c>
      <c r="L291" s="4" t="inlineStr">
        <is>
          <t>1:05.79</t>
        </is>
      </c>
      <c r="M291" s="4" t="inlineStr">
        <is>
          <t>200m Karışık</t>
        </is>
      </c>
      <c r="N291" s="4" t="inlineStr">
        <is>
          <t>2:39.58</t>
        </is>
      </c>
      <c r="P291" t="inlineStr">
        <is>
          <t>Temel Su Sporları Spor Kulübü</t>
        </is>
      </c>
      <c r="Q291" t="inlineStr">
        <is>
          <t>Samsun</t>
        </is>
      </c>
      <c r="R291">
        <f>Q291=B291</f>
        <v/>
      </c>
      <c r="T291">
        <f>MATCH(D291,[1]Manual!$A:$A,0)</f>
        <v/>
      </c>
    </row>
    <row r="292" ht="15.95" customHeight="1">
      <c r="A292" s="2" t="n">
        <v>291</v>
      </c>
      <c r="B292" s="2" t="inlineStr">
        <is>
          <t>Samsun</t>
        </is>
      </c>
      <c r="C292" s="3" t="inlineStr">
        <is>
          <t>Erkek</t>
        </is>
      </c>
      <c r="D292" s="3" t="inlineStr">
        <is>
          <t>Çınar Alikan</t>
        </is>
      </c>
      <c r="E292" s="2" t="inlineStr">
        <is>
          <t>11</t>
        </is>
      </c>
      <c r="F292" s="2" t="inlineStr">
        <is>
          <t>76177013929</t>
        </is>
      </c>
      <c r="G292" s="2" t="inlineStr">
        <is>
          <t>200m Serbest</t>
        </is>
      </c>
      <c r="H292" s="2" t="inlineStr">
        <is>
          <t>2:07.54</t>
        </is>
      </c>
      <c r="I292" s="2" t="inlineStr">
        <is>
          <t>200m Karışık</t>
        </is>
      </c>
      <c r="J292" s="2" t="inlineStr">
        <is>
          <t>2:21.01</t>
        </is>
      </c>
      <c r="K292" s="2" t="inlineStr">
        <is>
          <t>400m Serbest</t>
        </is>
      </c>
      <c r="L292" s="2" t="inlineStr">
        <is>
          <t>4:22.93</t>
        </is>
      </c>
      <c r="M292" s="2" t="inlineStr">
        <is>
          <t>400m Karışık</t>
        </is>
      </c>
      <c r="N292" s="2" t="inlineStr">
        <is>
          <t>4:57.58</t>
        </is>
      </c>
      <c r="P292" s="6" t="inlineStr">
        <is>
          <t>Yıldız Su Sporları Spor Kulübü</t>
        </is>
      </c>
      <c r="Q292" t="inlineStr">
        <is>
          <t>Samsun</t>
        </is>
      </c>
      <c r="R292">
        <f>Q292=B292</f>
        <v/>
      </c>
      <c r="T292">
        <f>MATCH(D292,[1]Manual!$A:$A,0)</f>
        <v/>
      </c>
    </row>
    <row r="293" ht="15.95" customHeight="1">
      <c r="A293" s="4" t="n">
        <v>292</v>
      </c>
      <c r="B293" s="4" t="inlineStr">
        <is>
          <t>Samsun</t>
        </is>
      </c>
      <c r="C293" s="5" t="inlineStr">
        <is>
          <t>Erkek</t>
        </is>
      </c>
      <c r="D293" s="5" t="inlineStr">
        <is>
          <t>Ömer Ali BABUŞCU</t>
        </is>
      </c>
      <c r="E293" s="4" t="inlineStr">
        <is>
          <t>14</t>
        </is>
      </c>
      <c r="F293" s="4" t="inlineStr">
        <is>
          <t>58096620212</t>
        </is>
      </c>
      <c r="G293" s="4" t="inlineStr">
        <is>
          <t>100m Kelebek</t>
        </is>
      </c>
      <c r="H293" s="4" t="inlineStr">
        <is>
          <t>1:09.28</t>
        </is>
      </c>
      <c r="I293" s="4" t="inlineStr">
        <is>
          <t>200m Karışık</t>
        </is>
      </c>
      <c r="J293" s="4" t="inlineStr">
        <is>
          <t>2:40.74</t>
        </is>
      </c>
      <c r="K293" s="4" t="inlineStr">
        <is>
          <t>200m Kelebek</t>
        </is>
      </c>
      <c r="L293" s="4" t="inlineStr">
        <is>
          <t>2:39.19</t>
        </is>
      </c>
      <c r="M293" s="4" t="inlineStr">
        <is>
          <t>400m Karışık</t>
        </is>
      </c>
      <c r="N293" s="4" t="inlineStr">
        <is>
          <t>NT</t>
        </is>
      </c>
      <c r="P293" s="6" t="inlineStr">
        <is>
          <t>Yıldız Su Sporları Spor Kulübü</t>
        </is>
      </c>
      <c r="Q293" t="inlineStr">
        <is>
          <t>Samsun</t>
        </is>
      </c>
      <c r="R293">
        <f>Q293=B293</f>
        <v/>
      </c>
      <c r="T293">
        <f>MATCH(D293,[1]Manual!$A:$A,0)</f>
        <v/>
      </c>
    </row>
    <row r="294" ht="15.95" customHeight="1">
      <c r="A294" s="2" t="n">
        <v>293</v>
      </c>
      <c r="B294" s="2" t="inlineStr">
        <is>
          <t>Samsun</t>
        </is>
      </c>
      <c r="C294" s="3" t="inlineStr">
        <is>
          <t>Bayan</t>
        </is>
      </c>
      <c r="D294" s="3" t="inlineStr">
        <is>
          <t>Asya AKAR</t>
        </is>
      </c>
      <c r="E294" s="2" t="inlineStr">
        <is>
          <t>13</t>
        </is>
      </c>
      <c r="F294" s="2" t="inlineStr">
        <is>
          <t>49414665617</t>
        </is>
      </c>
      <c r="G294" s="2" t="inlineStr">
        <is>
          <t>100m Serbest</t>
        </is>
      </c>
      <c r="H294" s="2" t="inlineStr">
        <is>
          <t>1:04.26</t>
        </is>
      </c>
      <c r="I294" s="2" t="inlineStr">
        <is>
          <t>200m Kelebek</t>
        </is>
      </c>
      <c r="J294" s="2" t="inlineStr">
        <is>
          <t>2:30.83</t>
        </is>
      </c>
      <c r="K294" s="2" t="inlineStr">
        <is>
          <t>100m Kelebek</t>
        </is>
      </c>
      <c r="L294" s="2" t="inlineStr">
        <is>
          <t>1:06.35</t>
        </is>
      </c>
      <c r="M294" s="2" t="inlineStr">
        <is>
          <t>200m Karışık</t>
        </is>
      </c>
      <c r="N294" s="2" t="inlineStr">
        <is>
          <t>2:37.63</t>
        </is>
      </c>
      <c r="P294" t="inlineStr">
        <is>
          <t>Temel Su Sporları Spor Kulübü</t>
        </is>
      </c>
      <c r="Q294" t="inlineStr">
        <is>
          <t>Samsun</t>
        </is>
      </c>
      <c r="R294">
        <f>Q294=B294</f>
        <v/>
      </c>
      <c r="T294">
        <f>MATCH(D294,[1]Manual!$A:$A,0)</f>
        <v/>
      </c>
    </row>
    <row r="295" ht="15.95" customHeight="1">
      <c r="A295" s="4" t="n">
        <v>294</v>
      </c>
      <c r="B295" s="4" t="inlineStr">
        <is>
          <t>Samsun</t>
        </is>
      </c>
      <c r="C295" s="5" t="inlineStr">
        <is>
          <t>Bayan</t>
        </is>
      </c>
      <c r="D295" s="5" t="inlineStr">
        <is>
          <t>Ela AYGÜN</t>
        </is>
      </c>
      <c r="E295" s="4" t="inlineStr">
        <is>
          <t>12</t>
        </is>
      </c>
      <c r="F295" s="4" t="inlineStr">
        <is>
          <t>14071068154</t>
        </is>
      </c>
      <c r="G295" s="4" t="inlineStr">
        <is>
          <t>50m Serbest</t>
        </is>
      </c>
      <c r="H295" s="4" t="inlineStr">
        <is>
          <t>29.15</t>
        </is>
      </c>
      <c r="I295" s="4" t="inlineStr">
        <is>
          <t>200m Serbest</t>
        </is>
      </c>
      <c r="J295" s="4" t="inlineStr">
        <is>
          <t>2:17.62</t>
        </is>
      </c>
      <c r="K295" s="4" t="inlineStr">
        <is>
          <t>100m Serbest</t>
        </is>
      </c>
      <c r="L295" s="4" t="inlineStr">
        <is>
          <t>1:03.86</t>
        </is>
      </c>
      <c r="M295" s="4" t="inlineStr">
        <is>
          <t>1500m Serbest</t>
        </is>
      </c>
      <c r="N295" s="4" t="inlineStr">
        <is>
          <t>18:31.97</t>
        </is>
      </c>
      <c r="P295" s="6" t="inlineStr">
        <is>
          <t>Yıldız Su Sporları Spor Kulübü</t>
        </is>
      </c>
      <c r="Q295" t="inlineStr">
        <is>
          <t>Samsun</t>
        </is>
      </c>
      <c r="R295">
        <f>Q295=B295</f>
        <v/>
      </c>
      <c r="T295">
        <f>MATCH(D295,[1]Manual!$A:$A,0)</f>
        <v/>
      </c>
    </row>
    <row r="296" ht="15.95" customHeight="1">
      <c r="A296" s="2" t="n">
        <v>295</v>
      </c>
      <c r="B296" s="2" t="inlineStr">
        <is>
          <t>Samsun</t>
        </is>
      </c>
      <c r="C296" s="3" t="inlineStr">
        <is>
          <t>Bayan</t>
        </is>
      </c>
      <c r="D296" s="3" t="inlineStr">
        <is>
          <t>Elif INAT</t>
        </is>
      </c>
      <c r="E296" s="2" t="inlineStr">
        <is>
          <t>14</t>
        </is>
      </c>
      <c r="F296" s="2" t="inlineStr">
        <is>
          <t>47704960128</t>
        </is>
      </c>
      <c r="G296" s="2" t="inlineStr">
        <is>
          <t>200m Serbest</t>
        </is>
      </c>
      <c r="H296" s="2" t="inlineStr">
        <is>
          <t>2:29.94</t>
        </is>
      </c>
      <c r="I296" s="2" t="inlineStr">
        <is>
          <t>200m Kurbağalama</t>
        </is>
      </c>
      <c r="J296" s="2" t="inlineStr">
        <is>
          <t>3:03.77</t>
        </is>
      </c>
      <c r="K296" s="2" t="inlineStr">
        <is>
          <t>100m Kurbağalama</t>
        </is>
      </c>
      <c r="L296" s="2" t="inlineStr">
        <is>
          <t>1:26.02</t>
        </is>
      </c>
      <c r="M296" s="2" t="inlineStr">
        <is>
          <t>200m Karışık</t>
        </is>
      </c>
      <c r="N296" s="2" t="inlineStr">
        <is>
          <t>2:47.14</t>
        </is>
      </c>
      <c r="P296" t="inlineStr">
        <is>
          <t>Samsun Su Sporları Spor Kulübü</t>
        </is>
      </c>
      <c r="Q296" t="inlineStr">
        <is>
          <t>Samsun</t>
        </is>
      </c>
      <c r="R296">
        <f>Q296=B296</f>
        <v/>
      </c>
      <c r="T296">
        <f>MATCH(D296,[1]Manual!$A:$A,0)</f>
        <v/>
      </c>
    </row>
    <row r="297" ht="15.95" customHeight="1">
      <c r="A297" s="4" t="n">
        <v>296</v>
      </c>
      <c r="B297" s="4" t="inlineStr">
        <is>
          <t>Samsun</t>
        </is>
      </c>
      <c r="C297" s="5" t="inlineStr">
        <is>
          <t>Bayan</t>
        </is>
      </c>
      <c r="D297" s="5" t="inlineStr">
        <is>
          <t>Elif Naz OKUYUCU</t>
        </is>
      </c>
      <c r="E297" s="4" t="inlineStr">
        <is>
          <t>14</t>
        </is>
      </c>
      <c r="F297" s="4" t="inlineStr">
        <is>
          <t>52561804726</t>
        </is>
      </c>
      <c r="G297" s="4" t="inlineStr">
        <is>
          <t>200m Serbest</t>
        </is>
      </c>
      <c r="H297" s="4" t="inlineStr">
        <is>
          <t>2:25.62</t>
        </is>
      </c>
      <c r="I297" s="4" t="inlineStr">
        <is>
          <t>800m Serbest</t>
        </is>
      </c>
      <c r="J297" s="4" t="inlineStr">
        <is>
          <t>11:12.27</t>
        </is>
      </c>
      <c r="K297" s="4" t="inlineStr">
        <is>
          <t>400m Serbest</t>
        </is>
      </c>
      <c r="L297" s="4" t="inlineStr">
        <is>
          <t>5:06.45</t>
        </is>
      </c>
      <c r="M297" s="4" t="inlineStr">
        <is>
          <t>200m Karışık</t>
        </is>
      </c>
      <c r="N297" s="4" t="inlineStr">
        <is>
          <t>2:51.59</t>
        </is>
      </c>
      <c r="P297" s="6" t="inlineStr">
        <is>
          <t>Yıldız Su Sporları Spor Kulübü</t>
        </is>
      </c>
      <c r="Q297" t="inlineStr">
        <is>
          <t>Samsun</t>
        </is>
      </c>
      <c r="R297">
        <f>Q297=B297</f>
        <v/>
      </c>
      <c r="T297">
        <f>MATCH(D297,[1]Manual!$A:$A,0)</f>
        <v/>
      </c>
    </row>
    <row r="298" ht="15.95" customHeight="1">
      <c r="A298" s="2" t="n">
        <v>297</v>
      </c>
      <c r="B298" s="2" t="inlineStr">
        <is>
          <t>Samsun</t>
        </is>
      </c>
      <c r="C298" s="3" t="inlineStr">
        <is>
          <t>Bayan</t>
        </is>
      </c>
      <c r="D298" s="3" t="inlineStr">
        <is>
          <t>Elifnur Cennet YILMAZ</t>
        </is>
      </c>
      <c r="E298" s="2" t="inlineStr">
        <is>
          <t>14</t>
        </is>
      </c>
      <c r="F298" s="2" t="inlineStr">
        <is>
          <t>31151269515</t>
        </is>
      </c>
      <c r="G298" s="2" t="inlineStr">
        <is>
          <t>100m Serbest</t>
        </is>
      </c>
      <c r="H298" s="2" t="inlineStr">
        <is>
          <t>1:08.33</t>
        </is>
      </c>
      <c r="I298" s="2" t="inlineStr">
        <is>
          <t>400m Serbest</t>
        </is>
      </c>
      <c r="J298" s="2" t="inlineStr">
        <is>
          <t>5:06.21</t>
        </is>
      </c>
      <c r="K298" s="2" t="inlineStr">
        <is>
          <t>200m Serbest</t>
        </is>
      </c>
      <c r="L298" s="2" t="inlineStr">
        <is>
          <t>2:24.63</t>
        </is>
      </c>
      <c r="M298" s="2" t="inlineStr">
        <is>
          <t>200m Karışık</t>
        </is>
      </c>
      <c r="N298" s="2" t="inlineStr">
        <is>
          <t>2:50.18</t>
        </is>
      </c>
      <c r="P298" t="inlineStr">
        <is>
          <t>Temel Su Sporları Spor Kulübü</t>
        </is>
      </c>
      <c r="Q298" t="inlineStr">
        <is>
          <t>Samsun</t>
        </is>
      </c>
      <c r="R298">
        <f>Q298=B298</f>
        <v/>
      </c>
      <c r="T298">
        <f>MATCH(D298,[1]Manual!$A:$A,0)</f>
        <v/>
      </c>
    </row>
    <row r="299" ht="15.95" customHeight="1">
      <c r="A299" s="4" t="n">
        <v>298</v>
      </c>
      <c r="B299" s="4" t="inlineStr">
        <is>
          <t>Samsun</t>
        </is>
      </c>
      <c r="C299" s="5" t="inlineStr">
        <is>
          <t>Bayan</t>
        </is>
      </c>
      <c r="D299" s="5" t="inlineStr">
        <is>
          <t>Güneş ASLAN</t>
        </is>
      </c>
      <c r="E299" s="4" t="inlineStr">
        <is>
          <t>14</t>
        </is>
      </c>
      <c r="F299" s="4" t="inlineStr">
        <is>
          <t>47848955311</t>
        </is>
      </c>
      <c r="G299" s="4" t="inlineStr">
        <is>
          <t>100m Kelebek</t>
        </is>
      </c>
      <c r="H299" s="4" t="inlineStr">
        <is>
          <t>1:13.28</t>
        </is>
      </c>
      <c r="I299" s="4" t="inlineStr">
        <is>
          <t>200m Karışık</t>
        </is>
      </c>
      <c r="J299" s="4" t="inlineStr">
        <is>
          <t>2:41.86</t>
        </is>
      </c>
      <c r="K299" s="4" t="inlineStr">
        <is>
          <t>200m Kelebek</t>
        </is>
      </c>
      <c r="L299" s="4" t="inlineStr">
        <is>
          <t>NT</t>
        </is>
      </c>
      <c r="M299" s="4" t="inlineStr">
        <is>
          <t>400m Karışık</t>
        </is>
      </c>
      <c r="N299" s="4" t="inlineStr">
        <is>
          <t>6:11.73</t>
        </is>
      </c>
      <c r="P299" t="inlineStr">
        <is>
          <t>Temel Su Sporları Spor Kulübü</t>
        </is>
      </c>
      <c r="Q299" t="inlineStr">
        <is>
          <t>Samsun</t>
        </is>
      </c>
      <c r="R299">
        <f>Q299=B299</f>
        <v/>
      </c>
      <c r="T299">
        <f>MATCH(D299,[1]Manual!$A:$A,0)</f>
        <v/>
      </c>
    </row>
    <row r="300" ht="15.95" customHeight="1">
      <c r="A300" s="2" t="n">
        <v>299</v>
      </c>
      <c r="B300" s="2" t="inlineStr">
        <is>
          <t>Samsun</t>
        </is>
      </c>
      <c r="C300" s="3" t="inlineStr">
        <is>
          <t>Bayan</t>
        </is>
      </c>
      <c r="D300" s="3" t="inlineStr">
        <is>
          <t>Linda Derin OĞUZHAN</t>
        </is>
      </c>
      <c r="E300" s="2" t="inlineStr">
        <is>
          <t>14</t>
        </is>
      </c>
      <c r="F300" s="2" t="inlineStr">
        <is>
          <t>46762991517</t>
        </is>
      </c>
      <c r="G300" s="2" t="inlineStr">
        <is>
          <t>100m Serbest</t>
        </is>
      </c>
      <c r="H300" s="2" t="inlineStr">
        <is>
          <t>1:05.41</t>
        </is>
      </c>
      <c r="I300" s="2" t="inlineStr">
        <is>
          <t>100m Sırtüstü</t>
        </is>
      </c>
      <c r="J300" s="2" t="inlineStr">
        <is>
          <t>1:11.63</t>
        </is>
      </c>
      <c r="K300" s="2" t="inlineStr">
        <is>
          <t>200m Serbest</t>
        </is>
      </c>
      <c r="L300" s="2" t="inlineStr">
        <is>
          <t>2:22.51</t>
        </is>
      </c>
      <c r="M300" s="2" t="inlineStr">
        <is>
          <t>200m Sırtüstü</t>
        </is>
      </c>
      <c r="N300" s="2" t="inlineStr">
        <is>
          <t>2:34.32</t>
        </is>
      </c>
      <c r="P300" t="inlineStr">
        <is>
          <t>Samsun Su Sporları Spor Kulübü</t>
        </is>
      </c>
      <c r="Q300" t="inlineStr">
        <is>
          <t>Samsun</t>
        </is>
      </c>
      <c r="R300">
        <f>Q300=B300</f>
        <v/>
      </c>
      <c r="T300">
        <f>MATCH(D300,[1]Manual!$A:$A,0)</f>
        <v/>
      </c>
    </row>
    <row r="301" ht="15.95" customHeight="1">
      <c r="A301" s="4" t="n">
        <v>300</v>
      </c>
      <c r="B301" s="4" t="inlineStr">
        <is>
          <t>Samsun</t>
        </is>
      </c>
      <c r="C301" s="5" t="inlineStr">
        <is>
          <t>Bayan</t>
        </is>
      </c>
      <c r="D301" s="5" t="inlineStr">
        <is>
          <t>Melis MENCİK</t>
        </is>
      </c>
      <c r="E301" s="4" t="inlineStr">
        <is>
          <t>14</t>
        </is>
      </c>
      <c r="F301" s="4" t="inlineStr">
        <is>
          <t>13713100721</t>
        </is>
      </c>
      <c r="G301" s="4" t="inlineStr">
        <is>
          <t>200m Serbest</t>
        </is>
      </c>
      <c r="H301" s="4" t="inlineStr">
        <is>
          <t>2:25.71</t>
        </is>
      </c>
      <c r="I301" s="4" t="inlineStr">
        <is>
          <t>200m Sırtüstü</t>
        </is>
      </c>
      <c r="J301" s="4" t="inlineStr">
        <is>
          <t>2:37.70</t>
        </is>
      </c>
      <c r="K301" s="4" t="inlineStr">
        <is>
          <t>100m Sırtüstü</t>
        </is>
      </c>
      <c r="L301" s="4" t="inlineStr">
        <is>
          <t>1:13.11</t>
        </is>
      </c>
      <c r="M301" s="4" t="inlineStr">
        <is>
          <t>200m Karışık</t>
        </is>
      </c>
      <c r="N301" s="4" t="inlineStr">
        <is>
          <t>2:43.63</t>
        </is>
      </c>
      <c r="P301" s="6" t="inlineStr">
        <is>
          <t>Yıldız Su Sporları Spor Kulübü</t>
        </is>
      </c>
      <c r="Q301" t="inlineStr">
        <is>
          <t>Samsun</t>
        </is>
      </c>
      <c r="R301">
        <f>Q301=B301</f>
        <v/>
      </c>
      <c r="T301">
        <f>MATCH(D301,[1]Manual!$A:$A,0)</f>
        <v/>
      </c>
    </row>
    <row r="302" ht="15.95" customHeight="1">
      <c r="A302" s="2" t="n">
        <v>301</v>
      </c>
      <c r="B302" s="8" t="inlineStr">
        <is>
          <t>Samsun</t>
        </is>
      </c>
      <c r="C302" s="3" t="inlineStr">
        <is>
          <t>Bayan</t>
        </is>
      </c>
      <c r="D302" s="3" t="inlineStr">
        <is>
          <t>Mira AYDIN</t>
        </is>
      </c>
      <c r="E302" s="2" t="inlineStr">
        <is>
          <t>12</t>
        </is>
      </c>
      <c r="F302" s="2" t="inlineStr">
        <is>
          <t>55399071625</t>
        </is>
      </c>
      <c r="G302" s="2" t="inlineStr">
        <is>
          <t>200m Serbest</t>
        </is>
      </c>
      <c r="H302" s="2" t="inlineStr">
        <is>
          <t>2:16.17</t>
        </is>
      </c>
      <c r="I302" s="2" t="inlineStr">
        <is>
          <t>800m Serbest</t>
        </is>
      </c>
      <c r="J302" s="2" t="inlineStr">
        <is>
          <t>9:47.85</t>
        </is>
      </c>
      <c r="K302" s="2" t="inlineStr">
        <is>
          <t>400m Serbest</t>
        </is>
      </c>
      <c r="L302" s="2" t="inlineStr">
        <is>
          <t>4:46.76</t>
        </is>
      </c>
      <c r="M302" s="2" t="inlineStr">
        <is>
          <t>200m Kelebek</t>
        </is>
      </c>
      <c r="N302" s="2" t="inlineStr">
        <is>
          <t>2:49.04</t>
        </is>
      </c>
      <c r="P302" s="7" t="inlineStr">
        <is>
          <t>Giresunspor Kulübü</t>
        </is>
      </c>
      <c r="Q302" s="9" t="inlineStr">
        <is>
          <t>Giresun</t>
        </is>
      </c>
      <c r="R302">
        <f>Q302=B302</f>
        <v/>
      </c>
      <c r="S302" s="9" t="inlineStr">
        <is>
          <t>Giresun'da kulübü ama girş listesi nedense Samsun, Yaşadığı yer de Giresun gibi, Samsun kalsın ama Start listesine bakarız</t>
        </is>
      </c>
      <c r="T302">
        <f>MATCH(D302,[1]Manual!$A:$A,0)</f>
        <v/>
      </c>
    </row>
    <row r="303" ht="15.95" customHeight="1">
      <c r="A303" s="4" t="n">
        <v>302</v>
      </c>
      <c r="B303" s="4" t="inlineStr">
        <is>
          <t>Samsun</t>
        </is>
      </c>
      <c r="C303" s="5" t="inlineStr">
        <is>
          <t>Bayan</t>
        </is>
      </c>
      <c r="D303" s="5" t="inlineStr">
        <is>
          <t>Nehir Berin DAĞLI</t>
        </is>
      </c>
      <c r="E303" s="4" t="inlineStr">
        <is>
          <t>12</t>
        </is>
      </c>
      <c r="F303" s="4" t="inlineStr">
        <is>
          <t>60337412612</t>
        </is>
      </c>
      <c r="G303" s="4" t="inlineStr">
        <is>
          <t>100m Serbest</t>
        </is>
      </c>
      <c r="H303" s="4" t="inlineStr">
        <is>
          <t>1:02.68</t>
        </is>
      </c>
      <c r="I303" s="4" t="inlineStr">
        <is>
          <t>400m Serbest</t>
        </is>
      </c>
      <c r="J303" s="4" t="inlineStr">
        <is>
          <t>4:40.81</t>
        </is>
      </c>
      <c r="K303" s="4" t="inlineStr">
        <is>
          <t>200m Serbest</t>
        </is>
      </c>
      <c r="L303" s="4" t="inlineStr">
        <is>
          <t>2:14.98</t>
        </is>
      </c>
      <c r="M303" s="4" t="inlineStr">
        <is>
          <t>200m Karışık</t>
        </is>
      </c>
      <c r="N303" s="4" t="inlineStr">
        <is>
          <t>2:37.00</t>
        </is>
      </c>
      <c r="P303" s="6" t="inlineStr">
        <is>
          <t>Yıldız Su Sporları Spor Kulübü</t>
        </is>
      </c>
      <c r="Q303" t="inlineStr">
        <is>
          <t>Samsun</t>
        </is>
      </c>
      <c r="R303">
        <f>Q303=B303</f>
        <v/>
      </c>
      <c r="T303">
        <f>MATCH(D303,[1]Manual!$A:$A,0)</f>
        <v/>
      </c>
    </row>
    <row r="304" ht="15.95" customHeight="1">
      <c r="A304" s="2" t="n">
        <v>303</v>
      </c>
      <c r="B304" s="2" t="inlineStr">
        <is>
          <t>Tekirdağ</t>
        </is>
      </c>
      <c r="C304" s="3" t="inlineStr">
        <is>
          <t>Erkek</t>
        </is>
      </c>
      <c r="D304" s="3" t="inlineStr">
        <is>
          <t>Alp VURAL</t>
        </is>
      </c>
      <c r="E304" s="2" t="inlineStr">
        <is>
          <t>12</t>
        </is>
      </c>
      <c r="F304" s="2" t="inlineStr">
        <is>
          <t>19409165055</t>
        </is>
      </c>
      <c r="G304" s="2" t="inlineStr">
        <is>
          <t>50m Serbest</t>
        </is>
      </c>
      <c r="H304" s="2" t="inlineStr">
        <is>
          <t>27.14</t>
        </is>
      </c>
      <c r="I304" s="2" t="inlineStr">
        <is>
          <t>200m Serbest</t>
        </is>
      </c>
      <c r="J304" s="2" t="inlineStr">
        <is>
          <t>2:08.42</t>
        </is>
      </c>
      <c r="K304" s="2" t="inlineStr">
        <is>
          <t>100m Serbest</t>
        </is>
      </c>
      <c r="L304" s="2" t="inlineStr">
        <is>
          <t>58.26</t>
        </is>
      </c>
      <c r="M304" s="2" t="inlineStr">
        <is>
          <t>400m Serbest</t>
        </is>
      </c>
      <c r="N304" s="2" t="inlineStr">
        <is>
          <t>4:35.43</t>
        </is>
      </c>
      <c r="P304" t="inlineStr">
        <is>
          <t>Tekirdag Ayyildiz Yüzme Spor Kulübü</t>
        </is>
      </c>
      <c r="Q304" t="inlineStr">
        <is>
          <t>Tekirdağ</t>
        </is>
      </c>
      <c r="R304">
        <f>Q304=B304</f>
        <v/>
      </c>
      <c r="T304">
        <f>MATCH(D304,[1]Manual!$A:$A,0)</f>
        <v/>
      </c>
    </row>
    <row r="305" ht="15.95" customHeight="1">
      <c r="A305" s="4" t="n">
        <v>304</v>
      </c>
      <c r="B305" s="4" t="inlineStr">
        <is>
          <t>Tekirdağ</t>
        </is>
      </c>
      <c r="C305" s="5" t="inlineStr">
        <is>
          <t>Erkek</t>
        </is>
      </c>
      <c r="D305" s="5" t="inlineStr">
        <is>
          <t>Can DERVİŞOĞLU</t>
        </is>
      </c>
      <c r="E305" s="4" t="inlineStr">
        <is>
          <t>09</t>
        </is>
      </c>
      <c r="F305" s="4" t="inlineStr">
        <is>
          <t>43945036452</t>
        </is>
      </c>
      <c r="G305" s="4" t="inlineStr">
        <is>
          <t>50m Serbest</t>
        </is>
      </c>
      <c r="H305" s="4" t="inlineStr">
        <is>
          <t>25.26</t>
        </is>
      </c>
      <c r="I305" s="4" t="inlineStr">
        <is>
          <t>200m Serbest</t>
        </is>
      </c>
      <c r="J305" s="4" t="inlineStr">
        <is>
          <t>1:55.13</t>
        </is>
      </c>
      <c r="K305" s="4" t="inlineStr">
        <is>
          <t>100m Serbest</t>
        </is>
      </c>
      <c r="L305" s="4" t="inlineStr">
        <is>
          <t>53.76</t>
        </is>
      </c>
      <c r="M305" s="4" t="inlineStr">
        <is>
          <t>400m Serbest</t>
        </is>
      </c>
      <c r="N305" s="4" t="inlineStr">
        <is>
          <t>4:03.84</t>
        </is>
      </c>
      <c r="P305" s="6" t="inlineStr">
        <is>
          <t>Teyik Spor Kulübü</t>
        </is>
      </c>
      <c r="Q305" s="6" t="inlineStr">
        <is>
          <t>Tekirdağ</t>
        </is>
      </c>
      <c r="R305">
        <f>Q305=B305</f>
        <v/>
      </c>
      <c r="T305">
        <f>MATCH(D305,[1]Manual!$A:$A,0)</f>
        <v/>
      </c>
    </row>
    <row r="306" ht="15.95" customHeight="1">
      <c r="A306" s="2" t="n">
        <v>305</v>
      </c>
      <c r="B306" s="2" t="inlineStr">
        <is>
          <t>Tekirdağ</t>
        </is>
      </c>
      <c r="C306" s="3" t="inlineStr">
        <is>
          <t>Erkek</t>
        </is>
      </c>
      <c r="D306" s="3" t="inlineStr">
        <is>
          <t>Doruk ÖVÜNÇ</t>
        </is>
      </c>
      <c r="E306" s="2" t="inlineStr">
        <is>
          <t>09</t>
        </is>
      </c>
      <c r="F306" s="2" t="inlineStr">
        <is>
          <t>16931247251</t>
        </is>
      </c>
      <c r="G306" s="2" t="inlineStr">
        <is>
          <t>50m Serbest</t>
        </is>
      </c>
      <c r="H306" s="2" t="inlineStr">
        <is>
          <t>25.00</t>
        </is>
      </c>
      <c r="I306" s="2" t="inlineStr">
        <is>
          <t>50m Kelebek</t>
        </is>
      </c>
      <c r="J306" s="2" t="inlineStr">
        <is>
          <t>26.55</t>
        </is>
      </c>
      <c r="K306" s="2" t="inlineStr">
        <is>
          <t>100m Serbest</t>
        </is>
      </c>
      <c r="L306" s="2" t="inlineStr">
        <is>
          <t>54.00</t>
        </is>
      </c>
      <c r="M306" s="2" t="inlineStr">
        <is>
          <t>100m Kelebek</t>
        </is>
      </c>
      <c r="N306" s="2" t="inlineStr">
        <is>
          <t>58.36</t>
        </is>
      </c>
      <c r="P306" s="6" t="inlineStr">
        <is>
          <t>Teyik Spor Kulübü</t>
        </is>
      </c>
      <c r="Q306" s="6" t="inlineStr">
        <is>
          <t>Tekirdağ</t>
        </is>
      </c>
      <c r="R306">
        <f>Q306=B306</f>
        <v/>
      </c>
      <c r="T306">
        <f>MATCH(D306,[1]Manual!$A:$A,0)</f>
        <v/>
      </c>
    </row>
    <row r="307" ht="15.95" customHeight="1">
      <c r="A307" s="4" t="n">
        <v>306</v>
      </c>
      <c r="B307" s="4" t="inlineStr">
        <is>
          <t>Tekirdağ</t>
        </is>
      </c>
      <c r="C307" s="5" t="inlineStr">
        <is>
          <t>Erkek</t>
        </is>
      </c>
      <c r="D307" s="5" t="inlineStr">
        <is>
          <t>Güney OKAL</t>
        </is>
      </c>
      <c r="E307" s="4" t="inlineStr">
        <is>
          <t>12</t>
        </is>
      </c>
      <c r="F307" s="4" t="inlineStr">
        <is>
          <t>26077942853</t>
        </is>
      </c>
      <c r="G307" s="4" t="inlineStr">
        <is>
          <t>50m Kurbağalama</t>
        </is>
      </c>
      <c r="H307" s="4" t="inlineStr">
        <is>
          <t>33.44</t>
        </is>
      </c>
      <c r="I307" s="4" t="inlineStr">
        <is>
          <t>200m Kurbağalama</t>
        </is>
      </c>
      <c r="J307" s="4" t="inlineStr">
        <is>
          <t>2:46.64</t>
        </is>
      </c>
      <c r="K307" s="4" t="inlineStr">
        <is>
          <t>100m Kurbağalama</t>
        </is>
      </c>
      <c r="L307" s="4" t="inlineStr">
        <is>
          <t>1:13.85</t>
        </is>
      </c>
      <c r="M307" s="4" t="inlineStr">
        <is>
          <t>200m Karışık</t>
        </is>
      </c>
      <c r="N307" s="4" t="inlineStr">
        <is>
          <t>2:25.82</t>
        </is>
      </c>
      <c r="P307" t="inlineStr">
        <is>
          <t>Teyik Spor Kulübü</t>
        </is>
      </c>
      <c r="Q307" t="inlineStr">
        <is>
          <t>Tekirdağ</t>
        </is>
      </c>
      <c r="R307">
        <f>Q307=B307</f>
        <v/>
      </c>
      <c r="T307">
        <f>MATCH(D307,[1]Manual!$A:$A,0)</f>
        <v/>
      </c>
    </row>
    <row r="308" ht="15.95" customHeight="1">
      <c r="A308" s="2" t="n">
        <v>307</v>
      </c>
      <c r="B308" s="2" t="inlineStr">
        <is>
          <t>Tekirdağ</t>
        </is>
      </c>
      <c r="C308" s="3" t="inlineStr">
        <is>
          <t>Erkek</t>
        </is>
      </c>
      <c r="D308" s="3" t="inlineStr">
        <is>
          <t>Tuna TURAN</t>
        </is>
      </c>
      <c r="E308" s="2" t="inlineStr">
        <is>
          <t>10</t>
        </is>
      </c>
      <c r="F308" s="2" t="inlineStr">
        <is>
          <t>33454750756</t>
        </is>
      </c>
      <c r="G308" s="2" t="inlineStr">
        <is>
          <t>50m Serbest</t>
        </is>
      </c>
      <c r="H308" s="2" t="inlineStr">
        <is>
          <t>24.06</t>
        </is>
      </c>
      <c r="I308" s="2" t="inlineStr">
        <is>
          <t>50m Kelebek</t>
        </is>
      </c>
      <c r="J308" s="2" t="inlineStr">
        <is>
          <t>25.99</t>
        </is>
      </c>
      <c r="K308" s="2" t="inlineStr">
        <is>
          <t>50m Sırtüstü</t>
        </is>
      </c>
      <c r="L308" s="2" t="inlineStr">
        <is>
          <t>28.16</t>
        </is>
      </c>
      <c r="M308" s="2" t="n"/>
      <c r="N308" s="2" t="inlineStr">
        <is>
          <t>NT</t>
        </is>
      </c>
      <c r="P308" s="6" t="inlineStr">
        <is>
          <t>Teyik Spor Kulübü</t>
        </is>
      </c>
      <c r="Q308" s="6" t="inlineStr">
        <is>
          <t>Tekirdağ</t>
        </is>
      </c>
      <c r="R308">
        <f>Q308=B308</f>
        <v/>
      </c>
      <c r="T308">
        <f>MATCH(D308,[1]Manual!$A:$A,0)</f>
        <v/>
      </c>
    </row>
    <row r="309" ht="15.95" customHeight="1">
      <c r="A309" s="4" t="n">
        <v>308</v>
      </c>
      <c r="B309" s="4" t="inlineStr">
        <is>
          <t>Tekirdağ</t>
        </is>
      </c>
      <c r="C309" s="5" t="inlineStr">
        <is>
          <t>Bayan</t>
        </is>
      </c>
      <c r="D309" s="5" t="inlineStr">
        <is>
          <t>Ada TÜRKEKUL</t>
        </is>
      </c>
      <c r="E309" s="4" t="inlineStr">
        <is>
          <t>14</t>
        </is>
      </c>
      <c r="F309" s="4" t="inlineStr">
        <is>
          <t>47206610610</t>
        </is>
      </c>
      <c r="G309" s="4" t="inlineStr">
        <is>
          <t>100m Serbest</t>
        </is>
      </c>
      <c r="H309" s="4" t="inlineStr">
        <is>
          <t>1:03.43</t>
        </is>
      </c>
      <c r="I309" s="4" t="inlineStr">
        <is>
          <t>400m Serbest</t>
        </is>
      </c>
      <c r="J309" s="4" t="inlineStr">
        <is>
          <t>4:53.93</t>
        </is>
      </c>
      <c r="K309" s="4" t="inlineStr">
        <is>
          <t>200m Serbest</t>
        </is>
      </c>
      <c r="L309" s="4" t="inlineStr">
        <is>
          <t>2:19.45</t>
        </is>
      </c>
      <c r="M309" s="4" t="inlineStr">
        <is>
          <t>800m Serbest</t>
        </is>
      </c>
      <c r="N309" s="4" t="inlineStr">
        <is>
          <t>10:21.55</t>
        </is>
      </c>
      <c r="P309" t="inlineStr">
        <is>
          <t>Çorlu Belediyesi Spor Kulübü</t>
        </is>
      </c>
      <c r="Q309" t="inlineStr">
        <is>
          <t>Tekirdağ</t>
        </is>
      </c>
      <c r="R309">
        <f>Q309=B309</f>
        <v/>
      </c>
      <c r="T309">
        <f>MATCH(D309,[1]Manual!$A:$A,0)</f>
        <v/>
      </c>
    </row>
    <row r="310" ht="15.95" customHeight="1">
      <c r="A310" s="2" t="n">
        <v>309</v>
      </c>
      <c r="B310" s="2" t="inlineStr">
        <is>
          <t>Tekirdağ</t>
        </is>
      </c>
      <c r="C310" s="3" t="inlineStr">
        <is>
          <t>Bayan</t>
        </is>
      </c>
      <c r="D310" s="3" t="inlineStr">
        <is>
          <t>Aybike ESENDENİZ</t>
        </is>
      </c>
      <c r="E310" s="2" t="inlineStr">
        <is>
          <t>14</t>
        </is>
      </c>
      <c r="F310" s="2" t="inlineStr">
        <is>
          <t>66715332918</t>
        </is>
      </c>
      <c r="G310" s="2" t="inlineStr">
        <is>
          <t>100m Kurbağalama</t>
        </is>
      </c>
      <c r="H310" s="2" t="inlineStr">
        <is>
          <t>1:19.59</t>
        </is>
      </c>
      <c r="I310" s="2" t="inlineStr">
        <is>
          <t>200m Karışık</t>
        </is>
      </c>
      <c r="J310" s="2" t="inlineStr">
        <is>
          <t>2:37.24</t>
        </is>
      </c>
      <c r="K310" s="2" t="inlineStr">
        <is>
          <t>200m Kurbağalama</t>
        </is>
      </c>
      <c r="L310" s="2" t="inlineStr">
        <is>
          <t>2:53.24</t>
        </is>
      </c>
      <c r="M310" s="2" t="inlineStr">
        <is>
          <t>400m Karışık</t>
        </is>
      </c>
      <c r="N310" s="2" t="inlineStr">
        <is>
          <t>5:40.64</t>
        </is>
      </c>
      <c r="P310" t="inlineStr">
        <is>
          <t>Çorlu Belediyesi Spor Kulübü</t>
        </is>
      </c>
      <c r="Q310" t="inlineStr">
        <is>
          <t>Tekirdağ</t>
        </is>
      </c>
      <c r="R310">
        <f>Q310=B310</f>
        <v/>
      </c>
      <c r="T310">
        <f>MATCH(D310,[1]Manual!$A:$A,0)</f>
        <v/>
      </c>
    </row>
    <row r="311" ht="15.95" customHeight="1">
      <c r="A311" s="4" t="n">
        <v>310</v>
      </c>
      <c r="B311" s="4" t="inlineStr">
        <is>
          <t>Tekirdağ</t>
        </is>
      </c>
      <c r="C311" s="5" t="inlineStr">
        <is>
          <t>Bayan</t>
        </is>
      </c>
      <c r="D311" s="5" t="inlineStr">
        <is>
          <t>Berra ZENGİN</t>
        </is>
      </c>
      <c r="E311" s="4" t="inlineStr">
        <is>
          <t>13</t>
        </is>
      </c>
      <c r="F311" s="4" t="inlineStr">
        <is>
          <t>50794490323</t>
        </is>
      </c>
      <c r="G311" s="4" t="inlineStr">
        <is>
          <t>200m Serbest</t>
        </is>
      </c>
      <c r="H311" s="4" t="inlineStr">
        <is>
          <t>2:15.11</t>
        </is>
      </c>
      <c r="I311" s="4" t="inlineStr">
        <is>
          <t>800m Serbest</t>
        </is>
      </c>
      <c r="J311" s="4" t="inlineStr">
        <is>
          <t>9:44.76</t>
        </is>
      </c>
      <c r="K311" s="4" t="inlineStr">
        <is>
          <t>400m Serbest</t>
        </is>
      </c>
      <c r="L311" s="4" t="inlineStr">
        <is>
          <t>4:46.23</t>
        </is>
      </c>
      <c r="M311" s="4" t="inlineStr">
        <is>
          <t>1500m Serbest</t>
        </is>
      </c>
      <c r="N311" s="4" t="inlineStr">
        <is>
          <t>18:33.04</t>
        </is>
      </c>
      <c r="P311" t="inlineStr">
        <is>
          <t>Çorlu Belediyesi Spor Kulübü</t>
        </is>
      </c>
      <c r="Q311" t="inlineStr">
        <is>
          <t>Tekirdağ</t>
        </is>
      </c>
      <c r="R311">
        <f>Q311=B311</f>
        <v/>
      </c>
      <c r="T311">
        <f>MATCH(D311,[1]Manual!$A:$A,0)</f>
        <v/>
      </c>
    </row>
    <row r="312" ht="15.95" customHeight="1">
      <c r="A312" s="2" t="n">
        <v>311</v>
      </c>
      <c r="B312" s="8" t="inlineStr">
        <is>
          <t>Tekirdağ</t>
        </is>
      </c>
      <c r="C312" s="3" t="inlineStr">
        <is>
          <t>Bayan</t>
        </is>
      </c>
      <c r="D312" s="3" t="inlineStr">
        <is>
          <t>Derin ANBARLI</t>
        </is>
      </c>
      <c r="E312" s="2" t="inlineStr">
        <is>
          <t>11</t>
        </is>
      </c>
      <c r="F312" s="2" t="inlineStr">
        <is>
          <t>13748352841</t>
        </is>
      </c>
      <c r="G312" s="2" t="inlineStr">
        <is>
          <t>400m Serbest</t>
        </is>
      </c>
      <c r="H312" s="2" t="inlineStr">
        <is>
          <t>4:33.22</t>
        </is>
      </c>
      <c r="I312" s="2" t="inlineStr">
        <is>
          <t>200m Karışık</t>
        </is>
      </c>
      <c r="J312" s="2" t="inlineStr">
        <is>
          <t>2:25.80</t>
        </is>
      </c>
      <c r="K312" s="2" t="inlineStr">
        <is>
          <t>100m Kurbağalama</t>
        </is>
      </c>
      <c r="L312" s="2" t="inlineStr">
        <is>
          <t>1:17.13</t>
        </is>
      </c>
      <c r="M312" s="2" t="inlineStr">
        <is>
          <t>400m Karışık</t>
        </is>
      </c>
      <c r="N312" s="2" t="inlineStr">
        <is>
          <t>5:09.68</t>
        </is>
      </c>
      <c r="P312" s="6" t="inlineStr">
        <is>
          <t>Galatasaray Spor Kulübü</t>
        </is>
      </c>
      <c r="Q312" s="9" t="inlineStr">
        <is>
          <t>İstanbul</t>
        </is>
      </c>
      <c r="R312">
        <f>Q312=B312</f>
        <v/>
      </c>
      <c r="S312" s="9" t="inlineStr">
        <is>
          <t>Kulübü  Galatasaray ve İstanbul kulübü ama yaşadığı şehir Tekirdağ sanırım, değiştirmeyelim Start listesine bakarız</t>
        </is>
      </c>
      <c r="T312">
        <f>MATCH(D312,[1]Manual!$A:$A,0)</f>
        <v/>
      </c>
    </row>
    <row r="313" ht="15.95" customHeight="1">
      <c r="A313" s="4" t="n">
        <v>312</v>
      </c>
      <c r="B313" s="4" t="inlineStr">
        <is>
          <t>Tekirdağ</t>
        </is>
      </c>
      <c r="C313" s="5" t="inlineStr">
        <is>
          <t>Bayan</t>
        </is>
      </c>
      <c r="D313" s="5" t="inlineStr">
        <is>
          <t>Derin SEZER</t>
        </is>
      </c>
      <c r="E313" s="4" t="inlineStr">
        <is>
          <t>14</t>
        </is>
      </c>
      <c r="F313" s="4" t="inlineStr">
        <is>
          <t>50815490519</t>
        </is>
      </c>
      <c r="G313" s="4" t="inlineStr">
        <is>
          <t>100m Serbest</t>
        </is>
      </c>
      <c r="H313" s="4" t="inlineStr">
        <is>
          <t>1:04.38</t>
        </is>
      </c>
      <c r="I313" s="4" t="inlineStr">
        <is>
          <t>100m Sırtüstü</t>
        </is>
      </c>
      <c r="J313" s="4" t="inlineStr">
        <is>
          <t>1:12.21</t>
        </is>
      </c>
      <c r="K313" s="4" t="inlineStr">
        <is>
          <t>200m Serbest</t>
        </is>
      </c>
      <c r="L313" s="4" t="inlineStr">
        <is>
          <t>2:17.66</t>
        </is>
      </c>
      <c r="M313" s="4" t="inlineStr">
        <is>
          <t>200m Sırtüstü</t>
        </is>
      </c>
      <c r="N313" s="4" t="inlineStr">
        <is>
          <t>2:32.32</t>
        </is>
      </c>
      <c r="P313" t="inlineStr">
        <is>
          <t>Çorlu Belediyesi Spor Kulübü</t>
        </is>
      </c>
      <c r="Q313" t="inlineStr">
        <is>
          <t>Tekirdağ</t>
        </is>
      </c>
      <c r="R313">
        <f>Q313=B313</f>
        <v/>
      </c>
      <c r="T313">
        <f>MATCH(D313,[1]Manual!$A:$A,0)</f>
        <v/>
      </c>
    </row>
    <row r="314" ht="15.95" customHeight="1">
      <c r="A314" s="2" t="n">
        <v>313</v>
      </c>
      <c r="B314" s="2" t="inlineStr">
        <is>
          <t>Tekirdağ</t>
        </is>
      </c>
      <c r="C314" s="3" t="inlineStr">
        <is>
          <t>Bayan</t>
        </is>
      </c>
      <c r="D314" s="3" t="inlineStr">
        <is>
          <t>Ela GÜZELSOY</t>
        </is>
      </c>
      <c r="E314" s="2" t="inlineStr">
        <is>
          <t>12</t>
        </is>
      </c>
      <c r="F314" s="2" t="inlineStr">
        <is>
          <t>42142495552</t>
        </is>
      </c>
      <c r="G314" s="2" t="inlineStr">
        <is>
          <t>50m Serbest</t>
        </is>
      </c>
      <c r="H314" s="2" t="inlineStr">
        <is>
          <t>29.14</t>
        </is>
      </c>
      <c r="I314" s="2" t="inlineStr">
        <is>
          <t>50m Kelebek</t>
        </is>
      </c>
      <c r="J314" s="2" t="inlineStr">
        <is>
          <t>29.72</t>
        </is>
      </c>
      <c r="K314" s="2" t="inlineStr">
        <is>
          <t>100m Serbest</t>
        </is>
      </c>
      <c r="L314" s="2" t="inlineStr">
        <is>
          <t>1:03.41</t>
        </is>
      </c>
      <c r="M314" s="2" t="inlineStr">
        <is>
          <t>100m Kelebek</t>
        </is>
      </c>
      <c r="N314" s="2" t="inlineStr">
        <is>
          <t>1:06.45</t>
        </is>
      </c>
      <c r="P314" s="12" t="inlineStr">
        <is>
          <t>Tekirdag Ayyildiz Yüzme Spor Kulübü</t>
        </is>
      </c>
      <c r="Q314" s="12" t="inlineStr">
        <is>
          <t>Tekirdağ</t>
        </is>
      </c>
      <c r="R314">
        <f>Q314=B314</f>
        <v/>
      </c>
      <c r="T314">
        <f>MATCH(D314,[1]Manual!$A:$A,0)</f>
        <v/>
      </c>
    </row>
    <row r="315" ht="15.95" customHeight="1">
      <c r="A315" s="4" t="n">
        <v>314</v>
      </c>
      <c r="B315" s="4" t="inlineStr">
        <is>
          <t>Tekirdağ</t>
        </is>
      </c>
      <c r="C315" s="5" t="inlineStr">
        <is>
          <t>Bayan</t>
        </is>
      </c>
      <c r="D315" s="5" t="inlineStr">
        <is>
          <t>Emine Mina KÖSEOĞLU</t>
        </is>
      </c>
      <c r="E315" s="4" t="inlineStr">
        <is>
          <t>13</t>
        </is>
      </c>
      <c r="F315" s="4" t="inlineStr">
        <is>
          <t>53002044846</t>
        </is>
      </c>
      <c r="G315" s="4" t="inlineStr">
        <is>
          <t>400m Serbest</t>
        </is>
      </c>
      <c r="H315" s="4" t="inlineStr">
        <is>
          <t>4:44.51</t>
        </is>
      </c>
      <c r="I315" s="4" t="inlineStr">
        <is>
          <t>200m Karışık</t>
        </is>
      </c>
      <c r="J315" s="4" t="inlineStr">
        <is>
          <t>2:34.32</t>
        </is>
      </c>
      <c r="K315" s="4" t="inlineStr">
        <is>
          <t>200m Sırtüstü</t>
        </is>
      </c>
      <c r="L315" s="4" t="inlineStr">
        <is>
          <t>2:35.00</t>
        </is>
      </c>
      <c r="M315" s="4" t="inlineStr">
        <is>
          <t>400m Karışık</t>
        </is>
      </c>
      <c r="N315" s="4" t="inlineStr">
        <is>
          <t>5:28.85</t>
        </is>
      </c>
      <c r="P315" t="inlineStr">
        <is>
          <t>Tekirdag Yüzme Spor Kulübü</t>
        </is>
      </c>
      <c r="Q315" t="inlineStr">
        <is>
          <t>Tekirdağ</t>
        </is>
      </c>
      <c r="R315">
        <f>Q315=B315</f>
        <v/>
      </c>
      <c r="T315">
        <f>MATCH(D315,[1]Manual!$A:$A,0)</f>
        <v/>
      </c>
    </row>
    <row r="316" ht="15.95" customHeight="1">
      <c r="A316" s="2" t="n">
        <v>315</v>
      </c>
      <c r="B316" s="8" t="inlineStr">
        <is>
          <t>Tekirdağ</t>
        </is>
      </c>
      <c r="C316" s="3" t="inlineStr">
        <is>
          <t>Bayan</t>
        </is>
      </c>
      <c r="D316" s="3" t="inlineStr">
        <is>
          <t>Melisa ZOBAR</t>
        </is>
      </c>
      <c r="E316" s="2" t="inlineStr">
        <is>
          <t>12</t>
        </is>
      </c>
      <c r="F316" s="2" t="inlineStr">
        <is>
          <t>45478294455</t>
        </is>
      </c>
      <c r="G316" s="2" t="inlineStr">
        <is>
          <t>50m Sırtüstü</t>
        </is>
      </c>
      <c r="H316" s="2" t="inlineStr">
        <is>
          <t>30.73</t>
        </is>
      </c>
      <c r="I316" s="2" t="inlineStr">
        <is>
          <t>50m Kelebek</t>
        </is>
      </c>
      <c r="J316" s="2" t="inlineStr">
        <is>
          <t>29.41</t>
        </is>
      </c>
      <c r="K316" s="2" t="inlineStr">
        <is>
          <t>100m Sırtüstü</t>
        </is>
      </c>
      <c r="L316" s="2" t="inlineStr">
        <is>
          <t>1:06.46</t>
        </is>
      </c>
      <c r="M316" s="2" t="inlineStr">
        <is>
          <t>100m Kelebek</t>
        </is>
      </c>
      <c r="N316" s="2" t="inlineStr">
        <is>
          <t>1:04.96</t>
        </is>
      </c>
      <c r="P316" s="6" t="inlineStr">
        <is>
          <t>Galatasaray Spor Kulübü</t>
        </is>
      </c>
      <c r="Q316" t="inlineStr">
        <is>
          <t>İstanbul</t>
        </is>
      </c>
      <c r="R316">
        <f>Q316=B316</f>
        <v/>
      </c>
      <c r="S316" s="9" t="inlineStr">
        <is>
          <t>Kulübü  Galatasaray ve İstanbul kulübü ama yaşadığı şehir Tekirdağ sanırım, değiştirmeyelim Start listesine bakarız</t>
        </is>
      </c>
      <c r="T316">
        <f>MATCH(D316,[1]Manual!$A:$A,0)</f>
        <v/>
      </c>
    </row>
    <row r="317" ht="15.95" customHeight="1">
      <c r="A317" s="4" t="n">
        <v>316</v>
      </c>
      <c r="B317" s="4" t="inlineStr">
        <is>
          <t>Tekirdağ</t>
        </is>
      </c>
      <c r="C317" s="5" t="inlineStr">
        <is>
          <t>Bayan</t>
        </is>
      </c>
      <c r="D317" s="5" t="inlineStr">
        <is>
          <t>Mira ŞİMŞEK</t>
        </is>
      </c>
      <c r="E317" s="4" t="inlineStr">
        <is>
          <t>14</t>
        </is>
      </c>
      <c r="F317" s="4" t="inlineStr">
        <is>
          <t>48991550924</t>
        </is>
      </c>
      <c r="G317" s="4" t="inlineStr">
        <is>
          <t>200m Serbest</t>
        </is>
      </c>
      <c r="H317" s="4" t="inlineStr">
        <is>
          <t>2:27.19</t>
        </is>
      </c>
      <c r="I317" s="4" t="inlineStr">
        <is>
          <t>800m Serbest</t>
        </is>
      </c>
      <c r="J317" s="4" t="inlineStr">
        <is>
          <t>10:40.12</t>
        </is>
      </c>
      <c r="K317" s="4" t="inlineStr">
        <is>
          <t>400m Serbest</t>
        </is>
      </c>
      <c r="L317" s="4" t="inlineStr">
        <is>
          <t>5:05.20</t>
        </is>
      </c>
      <c r="M317" s="4" t="inlineStr">
        <is>
          <t>1500m Serbest</t>
        </is>
      </c>
      <c r="N317" s="4" t="inlineStr">
        <is>
          <t>20:14.74</t>
        </is>
      </c>
      <c r="P317" t="inlineStr">
        <is>
          <t>Çorlu Belediyesi Spor Kulübü</t>
        </is>
      </c>
      <c r="Q317" t="inlineStr">
        <is>
          <t>Tekirdağ</t>
        </is>
      </c>
      <c r="R317">
        <f>Q317=B317</f>
        <v/>
      </c>
      <c r="T317">
        <f>MATCH(D317,[1]Manual!$A:$A,0)</f>
        <v/>
      </c>
    </row>
    <row r="318" ht="15.95" customHeight="1">
      <c r="A318" s="2" t="n">
        <v>317</v>
      </c>
      <c r="B318" s="2" t="inlineStr">
        <is>
          <t>Tokat</t>
        </is>
      </c>
      <c r="C318" s="3" t="inlineStr">
        <is>
          <t>Erkek</t>
        </is>
      </c>
      <c r="D318" s="3" t="inlineStr">
        <is>
          <t>Ali Tuna AVCI</t>
        </is>
      </c>
      <c r="E318" s="2" t="inlineStr">
        <is>
          <t>14</t>
        </is>
      </c>
      <c r="F318" s="2" t="inlineStr">
        <is>
          <t>28189860286</t>
        </is>
      </c>
      <c r="G318" s="2" t="inlineStr">
        <is>
          <t>800m Serbest</t>
        </is>
      </c>
      <c r="H318" s="2" t="inlineStr">
        <is>
          <t>10:48.16</t>
        </is>
      </c>
      <c r="I318" s="2" t="inlineStr">
        <is>
          <t>200m Karışık</t>
        </is>
      </c>
      <c r="J318" s="2" t="inlineStr">
        <is>
          <t>2:44.35</t>
        </is>
      </c>
      <c r="K318" s="2" t="inlineStr">
        <is>
          <t>1500m Serbest</t>
        </is>
      </c>
      <c r="L318" s="2" t="inlineStr">
        <is>
          <t>20:21.58</t>
        </is>
      </c>
      <c r="M318" s="2" t="inlineStr">
        <is>
          <t>400m Karışık</t>
        </is>
      </c>
      <c r="N318" s="2" t="inlineStr">
        <is>
          <t>6:07.44</t>
        </is>
      </c>
      <c r="P318" t="inlineStr">
        <is>
          <t>Tokat Gaziosmanpasa Yüzme Spor Kulübü</t>
        </is>
      </c>
      <c r="Q318" t="inlineStr">
        <is>
          <t>Tokat</t>
        </is>
      </c>
      <c r="R318">
        <f>Q318=B318</f>
        <v/>
      </c>
      <c r="T318">
        <f>MATCH(D318,[1]Manual!$A:$A,0)</f>
        <v/>
      </c>
    </row>
    <row r="319" ht="15.95" customHeight="1">
      <c r="A319" s="4" t="n">
        <v>318</v>
      </c>
      <c r="B319" s="11" t="inlineStr">
        <is>
          <t>Tokat</t>
        </is>
      </c>
      <c r="C319" s="5" t="inlineStr">
        <is>
          <t>Bayan</t>
        </is>
      </c>
      <c r="D319" s="5" t="inlineStr">
        <is>
          <t>Defne YILMAZ</t>
        </is>
      </c>
      <c r="E319" s="4" t="inlineStr">
        <is>
          <t>14</t>
        </is>
      </c>
      <c r="F319" s="4" t="inlineStr">
        <is>
          <t>39220509846</t>
        </is>
      </c>
      <c r="G319" s="4" t="inlineStr">
        <is>
          <t>400m Serbest</t>
        </is>
      </c>
      <c r="H319" s="4" t="inlineStr">
        <is>
          <t>5:16.01</t>
        </is>
      </c>
      <c r="I319" s="4" t="inlineStr">
        <is>
          <t>200m Karışık</t>
        </is>
      </c>
      <c r="J319" s="4" t="inlineStr">
        <is>
          <t>2:48.29</t>
        </is>
      </c>
      <c r="K319" s="4" t="inlineStr">
        <is>
          <t>800m Serbest</t>
        </is>
      </c>
      <c r="L319" s="4" t="inlineStr">
        <is>
          <t>11:01.42</t>
        </is>
      </c>
      <c r="M319" s="4" t="inlineStr">
        <is>
          <t>400m Karışık</t>
        </is>
      </c>
      <c r="N319" s="4" t="inlineStr">
        <is>
          <t>6:10.57</t>
        </is>
      </c>
      <c r="P319" t="inlineStr">
        <is>
          <t>Tokat Gaziosmanpasa Yüzme Spor Kulübü</t>
        </is>
      </c>
      <c r="Q319" s="11" t="inlineStr">
        <is>
          <t>Tokat</t>
        </is>
      </c>
      <c r="R319">
        <f>Q319=B319</f>
        <v/>
      </c>
      <c r="S319" s="9" t="inlineStr">
        <is>
          <t>2014lü olan Tokat'lı</t>
        </is>
      </c>
      <c r="T319">
        <f>MATCH(D319,[1]Manual!$A:$A,0)</f>
        <v/>
      </c>
    </row>
    <row r="320" ht="15.95" customHeight="1">
      <c r="A320" s="2" t="n">
        <v>319</v>
      </c>
      <c r="B320" s="2" t="inlineStr">
        <is>
          <t>Tokat</t>
        </is>
      </c>
      <c r="C320" s="3" t="inlineStr">
        <is>
          <t>Bayan</t>
        </is>
      </c>
      <c r="D320" s="3" t="inlineStr">
        <is>
          <t>Era ÇAKİN</t>
        </is>
      </c>
      <c r="E320" s="2" t="inlineStr">
        <is>
          <t>14</t>
        </is>
      </c>
      <c r="F320" s="2" t="inlineStr">
        <is>
          <t>12218409516</t>
        </is>
      </c>
      <c r="G320" s="2" t="inlineStr">
        <is>
          <t>1500m Serbest</t>
        </is>
      </c>
      <c r="H320" s="2" t="inlineStr">
        <is>
          <t>21:17.72</t>
        </is>
      </c>
      <c r="I320" s="2" t="inlineStr">
        <is>
          <t>200m Karışık</t>
        </is>
      </c>
      <c r="J320" s="2" t="inlineStr">
        <is>
          <t>2:48.90</t>
        </is>
      </c>
      <c r="K320" s="2" t="inlineStr">
        <is>
          <t>200m Sırtüstü</t>
        </is>
      </c>
      <c r="L320" s="2" t="inlineStr">
        <is>
          <t>2:50.50</t>
        </is>
      </c>
      <c r="M320" s="2" t="inlineStr">
        <is>
          <t>400m Karışık</t>
        </is>
      </c>
      <c r="N320" s="2" t="inlineStr">
        <is>
          <t>6:18.29</t>
        </is>
      </c>
      <c r="P320" t="inlineStr">
        <is>
          <t>Tokat Gaziosmanpasa Yüzme Spor Kulübü</t>
        </is>
      </c>
      <c r="Q320" t="inlineStr">
        <is>
          <t>Tokat</t>
        </is>
      </c>
      <c r="R320">
        <f>Q320=B320</f>
        <v/>
      </c>
      <c r="T320">
        <f>MATCH(D320,[1]Manual!$A:$A,0)</f>
        <v/>
      </c>
    </row>
    <row r="321" ht="15.95" customHeight="1">
      <c r="A321" s="4" t="n">
        <v>320</v>
      </c>
      <c r="B321" s="4" t="inlineStr">
        <is>
          <t>Trabzon</t>
        </is>
      </c>
      <c r="C321" s="5" t="inlineStr">
        <is>
          <t>Erkek</t>
        </is>
      </c>
      <c r="D321" s="5" t="inlineStr">
        <is>
          <t>Ahmet Arın ÖLMEZ</t>
        </is>
      </c>
      <c r="E321" s="4" t="inlineStr">
        <is>
          <t>14</t>
        </is>
      </c>
      <c r="F321" s="4" t="inlineStr">
        <is>
          <t>15552050322</t>
        </is>
      </c>
      <c r="G321" s="4" t="inlineStr">
        <is>
          <t>200m Serbest</t>
        </is>
      </c>
      <c r="H321" s="4" t="inlineStr">
        <is>
          <t>2:29.18</t>
        </is>
      </c>
      <c r="I321" s="4" t="inlineStr">
        <is>
          <t>200m Sırtüstü</t>
        </is>
      </c>
      <c r="J321" s="4" t="inlineStr">
        <is>
          <t>2:53.51</t>
        </is>
      </c>
      <c r="K321" s="4" t="inlineStr">
        <is>
          <t>400m Serbest</t>
        </is>
      </c>
      <c r="L321" s="4" t="inlineStr">
        <is>
          <t>5:22.70</t>
        </is>
      </c>
      <c r="M321" s="4" t="inlineStr">
        <is>
          <t>200m Karışık</t>
        </is>
      </c>
      <c r="N321" s="4" t="inlineStr">
        <is>
          <t>2:46.71</t>
        </is>
      </c>
      <c r="P321" t="inlineStr">
        <is>
          <t>Tswim Spor Kulübü</t>
        </is>
      </c>
      <c r="Q321" t="inlineStr">
        <is>
          <t>Trabzon</t>
        </is>
      </c>
      <c r="R321">
        <f>Q321=B321</f>
        <v/>
      </c>
      <c r="T321">
        <f>MATCH(D321,[1]Manual!$A:$A,0)</f>
        <v/>
      </c>
    </row>
    <row r="322" ht="15.95" customHeight="1">
      <c r="A322" s="2" t="n">
        <v>321</v>
      </c>
      <c r="B322" s="2" t="inlineStr">
        <is>
          <t>Trabzon</t>
        </is>
      </c>
      <c r="C322" s="3" t="inlineStr">
        <is>
          <t>Erkek</t>
        </is>
      </c>
      <c r="D322" s="3" t="inlineStr">
        <is>
          <t>Burak TURAN</t>
        </is>
      </c>
      <c r="E322" s="2" t="inlineStr">
        <is>
          <t>14</t>
        </is>
      </c>
      <c r="F322" s="2" t="inlineStr">
        <is>
          <t>23867773126</t>
        </is>
      </c>
      <c r="G322" s="2" t="inlineStr">
        <is>
          <t>200m Serbest</t>
        </is>
      </c>
      <c r="H322" s="2" t="inlineStr">
        <is>
          <t>2:30.30</t>
        </is>
      </c>
      <c r="I322" s="2" t="inlineStr">
        <is>
          <t>100m Kelebek</t>
        </is>
      </c>
      <c r="J322" s="2" t="inlineStr">
        <is>
          <t>1:14.52</t>
        </is>
      </c>
      <c r="K322" s="2" t="inlineStr">
        <is>
          <t>800m Serbest</t>
        </is>
      </c>
      <c r="L322" s="2" t="inlineStr">
        <is>
          <t>10:28.04</t>
        </is>
      </c>
      <c r="M322" s="2" t="inlineStr">
        <is>
          <t>200m Kelebek</t>
        </is>
      </c>
      <c r="N322" s="2" t="inlineStr">
        <is>
          <t>2:41.31</t>
        </is>
      </c>
      <c r="P322" t="inlineStr">
        <is>
          <t>Tswim Spor Kulübü</t>
        </is>
      </c>
      <c r="Q322" t="inlineStr">
        <is>
          <t>Trabzon</t>
        </is>
      </c>
      <c r="R322">
        <f>Q322=B322</f>
        <v/>
      </c>
      <c r="T322">
        <f>MATCH(D322,[1]Manual!$A:$A,0)</f>
        <v/>
      </c>
    </row>
    <row r="323" ht="15.95" customHeight="1">
      <c r="A323" s="4" t="n">
        <v>322</v>
      </c>
      <c r="B323" s="4" t="inlineStr">
        <is>
          <t>Trabzon</t>
        </is>
      </c>
      <c r="C323" s="5" t="inlineStr">
        <is>
          <t>Erkek</t>
        </is>
      </c>
      <c r="D323" s="5" t="inlineStr">
        <is>
          <t>Efe AYDINÇAKIR</t>
        </is>
      </c>
      <c r="E323" s="4" t="inlineStr">
        <is>
          <t>11</t>
        </is>
      </c>
      <c r="F323" s="4" t="inlineStr">
        <is>
          <t>38696108156</t>
        </is>
      </c>
      <c r="G323" s="4" t="inlineStr">
        <is>
          <t>50m Serbest</t>
        </is>
      </c>
      <c r="H323" s="4" t="inlineStr">
        <is>
          <t>27.49</t>
        </is>
      </c>
      <c r="I323" s="4" t="inlineStr">
        <is>
          <t>100m Kelebek</t>
        </is>
      </c>
      <c r="J323" s="4" t="inlineStr">
        <is>
          <t>1:00.85</t>
        </is>
      </c>
      <c r="K323" s="4" t="inlineStr">
        <is>
          <t>50m Kelebek</t>
        </is>
      </c>
      <c r="L323" s="4" t="inlineStr">
        <is>
          <t>28.26</t>
        </is>
      </c>
      <c r="M323" s="4" t="inlineStr">
        <is>
          <t>200m Kelebek</t>
        </is>
      </c>
      <c r="N323" s="4" t="inlineStr">
        <is>
          <t>2:14.75</t>
        </is>
      </c>
      <c r="P323" t="inlineStr">
        <is>
          <t>Trabzon Yüzme Spor Kulübü</t>
        </is>
      </c>
      <c r="Q323" t="inlineStr">
        <is>
          <t>Trabzon</t>
        </is>
      </c>
      <c r="R323">
        <f>Q323=B323</f>
        <v/>
      </c>
      <c r="T323">
        <f>MATCH(D323,[1]Manual!$A:$A,0)</f>
        <v/>
      </c>
    </row>
    <row r="324" ht="15.95" customHeight="1">
      <c r="A324" s="2" t="n">
        <v>323</v>
      </c>
      <c r="B324" s="2" t="inlineStr">
        <is>
          <t>Trabzon</t>
        </is>
      </c>
      <c r="C324" s="3" t="inlineStr">
        <is>
          <t>Erkek</t>
        </is>
      </c>
      <c r="D324" s="3" t="inlineStr">
        <is>
          <t>Emir Yağız ULUPINAR</t>
        </is>
      </c>
      <c r="E324" s="2" t="inlineStr">
        <is>
          <t>13</t>
        </is>
      </c>
      <c r="F324" s="2" t="inlineStr">
        <is>
          <t>60433382718</t>
        </is>
      </c>
      <c r="G324" s="2" t="inlineStr">
        <is>
          <t>100m Serbest</t>
        </is>
      </c>
      <c r="H324" s="2" t="inlineStr">
        <is>
          <t>58.70</t>
        </is>
      </c>
      <c r="I324" s="2" t="inlineStr">
        <is>
          <t>400m Serbest</t>
        </is>
      </c>
      <c r="J324" s="2" t="inlineStr">
        <is>
          <t>4:27.99</t>
        </is>
      </c>
      <c r="K324" s="2" t="inlineStr">
        <is>
          <t>200m Serbest</t>
        </is>
      </c>
      <c r="L324" s="2" t="inlineStr">
        <is>
          <t>2:08.38</t>
        </is>
      </c>
      <c r="M324" s="2" t="inlineStr">
        <is>
          <t>800m Serbest</t>
        </is>
      </c>
      <c r="N324" s="2" t="inlineStr">
        <is>
          <t>9:14.44</t>
        </is>
      </c>
      <c r="P324" t="inlineStr">
        <is>
          <t>Tswim Spor Kulübü</t>
        </is>
      </c>
      <c r="Q324" t="inlineStr">
        <is>
          <t>Trabzon</t>
        </is>
      </c>
      <c r="R324">
        <f>Q324=B324</f>
        <v/>
      </c>
      <c r="T324">
        <f>MATCH(D324,[1]Manual!$A:$A,0)</f>
        <v/>
      </c>
    </row>
    <row r="325" ht="15.95" customHeight="1">
      <c r="A325" s="4" t="n">
        <v>324</v>
      </c>
      <c r="B325" s="4" t="inlineStr">
        <is>
          <t>Trabzon</t>
        </is>
      </c>
      <c r="C325" s="5" t="inlineStr">
        <is>
          <t>Erkek</t>
        </is>
      </c>
      <c r="D325" s="5" t="inlineStr">
        <is>
          <t>Kağan Benveniste</t>
        </is>
      </c>
      <c r="E325" s="4" t="inlineStr">
        <is>
          <t>11</t>
        </is>
      </c>
      <c r="F325" s="4" t="inlineStr">
        <is>
          <t>13887091180</t>
        </is>
      </c>
      <c r="G325" s="4" t="inlineStr">
        <is>
          <t>800m Serbest</t>
        </is>
      </c>
      <c r="H325" s="4" t="inlineStr">
        <is>
          <t>9:05.70</t>
        </is>
      </c>
      <c r="I325" s="4" t="inlineStr">
        <is>
          <t>1500m Serbest</t>
        </is>
      </c>
      <c r="J325" s="4" t="inlineStr">
        <is>
          <t>17:18.08</t>
        </is>
      </c>
      <c r="K325" s="4" t="n"/>
      <c r="L325" s="4" t="inlineStr">
        <is>
          <t>NT</t>
        </is>
      </c>
      <c r="M325" s="4" t="n"/>
      <c r="N325" s="4" t="inlineStr">
        <is>
          <t>NT</t>
        </is>
      </c>
      <c r="P325" t="inlineStr">
        <is>
          <t>Trabzon Yesilova Spor Kulübü</t>
        </is>
      </c>
      <c r="Q325" t="inlineStr">
        <is>
          <t>Trabzon</t>
        </is>
      </c>
      <c r="R325">
        <f>Q325=B325</f>
        <v/>
      </c>
      <c r="T325">
        <f>MATCH(D325,[1]Manual!$A:$A,0)</f>
        <v/>
      </c>
    </row>
    <row r="326" ht="15.95" customHeight="1">
      <c r="A326" s="2" t="n">
        <v>325</v>
      </c>
      <c r="B326" s="2" t="inlineStr">
        <is>
          <t>Trabzon</t>
        </is>
      </c>
      <c r="C326" s="3" t="inlineStr">
        <is>
          <t>Erkek</t>
        </is>
      </c>
      <c r="D326" s="3" t="inlineStr">
        <is>
          <t>Kerem KILIÇASLAN</t>
        </is>
      </c>
      <c r="E326" s="2" t="inlineStr">
        <is>
          <t>14</t>
        </is>
      </c>
      <c r="F326" s="2" t="inlineStr">
        <is>
          <t>46993117016</t>
        </is>
      </c>
      <c r="G326" s="2" t="inlineStr">
        <is>
          <t>100m Serbest</t>
        </is>
      </c>
      <c r="H326" s="2" t="inlineStr">
        <is>
          <t>1:03.97</t>
        </is>
      </c>
      <c r="I326" s="2" t="inlineStr">
        <is>
          <t>400m Serbest</t>
        </is>
      </c>
      <c r="J326" s="2" t="inlineStr">
        <is>
          <t>5:00.58</t>
        </is>
      </c>
      <c r="K326" s="2" t="inlineStr">
        <is>
          <t>200m Serbest</t>
        </is>
      </c>
      <c r="L326" s="2" t="inlineStr">
        <is>
          <t>2:19.64</t>
        </is>
      </c>
      <c r="M326" s="2" t="inlineStr">
        <is>
          <t>800m Serbest</t>
        </is>
      </c>
      <c r="N326" s="2" t="inlineStr">
        <is>
          <t>10:15.24</t>
        </is>
      </c>
      <c r="P326" t="inlineStr">
        <is>
          <t>Trabzon Arena Yüzme Spor Kulübü</t>
        </is>
      </c>
      <c r="Q326" t="inlineStr">
        <is>
          <t>Trabzon</t>
        </is>
      </c>
      <c r="R326">
        <f>Q326=B326</f>
        <v/>
      </c>
      <c r="T326">
        <f>MATCH(D326,[1]Manual!$A:$A,0)</f>
        <v/>
      </c>
    </row>
    <row r="327" ht="15.95" customHeight="1">
      <c r="A327" s="4" t="n">
        <v>326</v>
      </c>
      <c r="B327" s="4" t="inlineStr">
        <is>
          <t>Trabzon</t>
        </is>
      </c>
      <c r="C327" s="5" t="inlineStr">
        <is>
          <t>Erkek</t>
        </is>
      </c>
      <c r="D327" s="5" t="inlineStr">
        <is>
          <t>Mert AYGÜN</t>
        </is>
      </c>
      <c r="E327" s="4" t="inlineStr">
        <is>
          <t>14</t>
        </is>
      </c>
      <c r="F327" s="4" t="inlineStr">
        <is>
          <t>20543711821</t>
        </is>
      </c>
      <c r="G327" s="4" t="inlineStr">
        <is>
          <t>200m Serbest</t>
        </is>
      </c>
      <c r="H327" s="4" t="inlineStr">
        <is>
          <t>2:39.99</t>
        </is>
      </c>
      <c r="I327" s="4" t="inlineStr">
        <is>
          <t>200m Kurbağalama</t>
        </is>
      </c>
      <c r="J327" s="4" t="inlineStr">
        <is>
          <t>3:04.92</t>
        </is>
      </c>
      <c r="K327" s="4" t="inlineStr">
        <is>
          <t>100m Kurbağalama</t>
        </is>
      </c>
      <c r="L327" s="4" t="inlineStr">
        <is>
          <t>1:28.41</t>
        </is>
      </c>
      <c r="M327" s="4" t="inlineStr">
        <is>
          <t>200m Karışık</t>
        </is>
      </c>
      <c r="N327" s="4" t="inlineStr">
        <is>
          <t>2:46.69</t>
        </is>
      </c>
      <c r="P327" t="inlineStr">
        <is>
          <t>Tswim Spor Kulübü</t>
        </is>
      </c>
      <c r="Q327" t="inlineStr">
        <is>
          <t>Trabzon</t>
        </is>
      </c>
      <c r="R327">
        <f>Q327=B327</f>
        <v/>
      </c>
      <c r="T327">
        <f>MATCH(D327,[1]Manual!$A:$A,0)</f>
        <v/>
      </c>
    </row>
    <row r="328" ht="15.95" customHeight="1">
      <c r="A328" s="2" t="n">
        <v>327</v>
      </c>
      <c r="B328" s="2" t="inlineStr">
        <is>
          <t>Trabzon</t>
        </is>
      </c>
      <c r="C328" s="3" t="inlineStr">
        <is>
          <t>Erkek</t>
        </is>
      </c>
      <c r="D328" s="3" t="inlineStr">
        <is>
          <t>Mert BOSTAN</t>
        </is>
      </c>
      <c r="E328" s="2" t="inlineStr">
        <is>
          <t>14</t>
        </is>
      </c>
      <c r="F328" s="2" t="inlineStr">
        <is>
          <t>29285413317</t>
        </is>
      </c>
      <c r="G328" s="2" t="inlineStr">
        <is>
          <t>100m Kurbağalama</t>
        </is>
      </c>
      <c r="H328" s="2" t="inlineStr">
        <is>
          <t>1:28.54</t>
        </is>
      </c>
      <c r="I328" s="2" t="inlineStr">
        <is>
          <t>200m Karışık</t>
        </is>
      </c>
      <c r="J328" s="2" t="inlineStr">
        <is>
          <t>2:44.61</t>
        </is>
      </c>
      <c r="K328" s="2" t="inlineStr">
        <is>
          <t>200m Kurbağalama</t>
        </is>
      </c>
      <c r="L328" s="2" t="inlineStr">
        <is>
          <t>3:04.90</t>
        </is>
      </c>
      <c r="M328" s="2" t="inlineStr">
        <is>
          <t>400m Karışık</t>
        </is>
      </c>
      <c r="N328" s="2" t="inlineStr">
        <is>
          <t>5:51.02</t>
        </is>
      </c>
      <c r="P328" t="inlineStr">
        <is>
          <t>Tswim Spor Kulübü</t>
        </is>
      </c>
      <c r="Q328" t="inlineStr">
        <is>
          <t>Trabzon</t>
        </is>
      </c>
      <c r="R328">
        <f>Q328=B328</f>
        <v/>
      </c>
      <c r="T328">
        <f>MATCH(D328,[1]Manual!$A:$A,0)</f>
        <v/>
      </c>
    </row>
    <row r="329" ht="15.95" customHeight="1">
      <c r="A329" s="4" t="n">
        <v>328</v>
      </c>
      <c r="B329" s="4" t="inlineStr">
        <is>
          <t>Trabzon</t>
        </is>
      </c>
      <c r="C329" s="5" t="inlineStr">
        <is>
          <t>Erkek</t>
        </is>
      </c>
      <c r="D329" s="5" t="inlineStr">
        <is>
          <t>Miraç Yağız ÖZTÜRK</t>
        </is>
      </c>
      <c r="E329" s="4" t="inlineStr">
        <is>
          <t>13</t>
        </is>
      </c>
      <c r="F329" s="4" t="inlineStr">
        <is>
          <t>58123462815</t>
        </is>
      </c>
      <c r="G329" s="4" t="inlineStr">
        <is>
          <t>100m Serbest</t>
        </is>
      </c>
      <c r="H329" s="4" t="inlineStr">
        <is>
          <t>56.97</t>
        </is>
      </c>
      <c r="I329" s="4" t="inlineStr">
        <is>
          <t>100m Kurbağalama</t>
        </is>
      </c>
      <c r="J329" s="4" t="inlineStr">
        <is>
          <t>1:14.21</t>
        </is>
      </c>
      <c r="K329" s="4" t="inlineStr">
        <is>
          <t>200m Serbest</t>
        </is>
      </c>
      <c r="L329" s="4" t="inlineStr">
        <is>
          <t>2:13.56</t>
        </is>
      </c>
      <c r="M329" s="4" t="inlineStr">
        <is>
          <t>200m Karışık</t>
        </is>
      </c>
      <c r="N329" s="4" t="inlineStr">
        <is>
          <t>2:26.89</t>
        </is>
      </c>
      <c r="P329" t="inlineStr">
        <is>
          <t>Tswim Spor Kulübü</t>
        </is>
      </c>
      <c r="Q329" t="inlineStr">
        <is>
          <t>Trabzon</t>
        </is>
      </c>
      <c r="R329">
        <f>Q329=B329</f>
        <v/>
      </c>
      <c r="T329">
        <f>MATCH(D329,[1]Manual!$A:$A,0)</f>
        <v/>
      </c>
    </row>
    <row r="330" ht="15.95" customHeight="1">
      <c r="A330" s="2" t="n">
        <v>329</v>
      </c>
      <c r="B330" s="11" t="inlineStr">
        <is>
          <t>Trabzon</t>
        </is>
      </c>
      <c r="C330" s="3" t="inlineStr">
        <is>
          <t>Erkek</t>
        </is>
      </c>
      <c r="D330" s="3" t="inlineStr">
        <is>
          <t>Muhammed Enes ILYAN</t>
        </is>
      </c>
      <c r="E330" s="2" t="inlineStr">
        <is>
          <t>14</t>
        </is>
      </c>
      <c r="F330" s="2" t="inlineStr">
        <is>
          <t>24251760342</t>
        </is>
      </c>
      <c r="G330" s="2" t="inlineStr">
        <is>
          <t>400m Serbest</t>
        </is>
      </c>
      <c r="H330" s="2" t="inlineStr">
        <is>
          <t>5:09.57</t>
        </is>
      </c>
      <c r="I330" s="2" t="inlineStr">
        <is>
          <t>1500m Serbest</t>
        </is>
      </c>
      <c r="J330" s="2" t="inlineStr">
        <is>
          <t>20:23.21</t>
        </is>
      </c>
      <c r="K330" s="2" t="inlineStr">
        <is>
          <t>800m Serbest</t>
        </is>
      </c>
      <c r="L330" s="2" t="inlineStr">
        <is>
          <t>10:26.33</t>
        </is>
      </c>
      <c r="M330" s="2" t="inlineStr">
        <is>
          <t>200m Karışık</t>
        </is>
      </c>
      <c r="N330" s="2" t="inlineStr">
        <is>
          <t>2:45.18</t>
        </is>
      </c>
      <c r="P330" s="6" t="inlineStr">
        <is>
          <t>Trabzon Buyuksehir Belediyesi Spor Kulübü</t>
        </is>
      </c>
      <c r="Q330" s="16" t="inlineStr">
        <is>
          <t>Trabzon</t>
        </is>
      </c>
      <c r="R330">
        <f>Q330=B330</f>
        <v/>
      </c>
      <c r="T330">
        <f>MATCH(D330,[1]Manual!$A:$A,0)</f>
        <v/>
      </c>
    </row>
    <row r="331" ht="15.95" customHeight="1">
      <c r="A331" s="4" t="n">
        <v>330</v>
      </c>
      <c r="B331" s="11" t="inlineStr">
        <is>
          <t>Trabzon</t>
        </is>
      </c>
      <c r="C331" s="5" t="inlineStr">
        <is>
          <t>Erkek</t>
        </is>
      </c>
      <c r="D331" s="5" t="inlineStr">
        <is>
          <t>Mustafa BİRİNCİ</t>
        </is>
      </c>
      <c r="E331" s="4" t="inlineStr">
        <is>
          <t>14</t>
        </is>
      </c>
      <c r="F331" s="4" t="inlineStr">
        <is>
          <t>23696778816</t>
        </is>
      </c>
      <c r="G331" s="4" t="inlineStr">
        <is>
          <t>100m Sırtüstü</t>
        </is>
      </c>
      <c r="H331" s="4" t="inlineStr">
        <is>
          <t>1:17.43</t>
        </is>
      </c>
      <c r="I331" s="4" t="inlineStr">
        <is>
          <t>100m Kelebek</t>
        </is>
      </c>
      <c r="J331" s="4" t="inlineStr">
        <is>
          <t>1:13.12</t>
        </is>
      </c>
      <c r="K331" s="4" t="inlineStr">
        <is>
          <t>200m Sırtüstü</t>
        </is>
      </c>
      <c r="L331" s="4" t="inlineStr">
        <is>
          <t>2:43.09</t>
        </is>
      </c>
      <c r="M331" s="4" t="inlineStr">
        <is>
          <t>200m Kelebek</t>
        </is>
      </c>
      <c r="N331" s="4" t="inlineStr">
        <is>
          <t>2:42.80</t>
        </is>
      </c>
      <c r="P331" s="6" t="inlineStr">
        <is>
          <t>Trabzon Buyuksehir Belediyesi Spor Kulübü</t>
        </is>
      </c>
      <c r="Q331" s="16" t="inlineStr">
        <is>
          <t>Trabzon</t>
        </is>
      </c>
      <c r="R331">
        <f>Q331=B331</f>
        <v/>
      </c>
      <c r="T331">
        <f>MATCH(D331,[1]Manual!$A:$A,0)</f>
        <v/>
      </c>
    </row>
    <row r="332" ht="15.95" customHeight="1">
      <c r="A332" s="2" t="n">
        <v>331</v>
      </c>
      <c r="B332" s="2" t="inlineStr">
        <is>
          <t>Trabzon</t>
        </is>
      </c>
      <c r="C332" s="3" t="inlineStr">
        <is>
          <t>Erkek</t>
        </is>
      </c>
      <c r="D332" s="3" t="inlineStr">
        <is>
          <t>Poyraz ALBAYRAK</t>
        </is>
      </c>
      <c r="E332" s="2" t="inlineStr">
        <is>
          <t>13</t>
        </is>
      </c>
      <c r="F332" s="2" t="inlineStr">
        <is>
          <t>65398218614</t>
        </is>
      </c>
      <c r="G332" s="2" t="inlineStr">
        <is>
          <t>100m Serbest</t>
        </is>
      </c>
      <c r="H332" s="2" t="inlineStr">
        <is>
          <t>1:02.81</t>
        </is>
      </c>
      <c r="I332" s="2" t="inlineStr">
        <is>
          <t>200m Kelebek</t>
        </is>
      </c>
      <c r="J332" s="2" t="inlineStr">
        <is>
          <t>2:21.33</t>
        </is>
      </c>
      <c r="K332" s="2" t="inlineStr">
        <is>
          <t>100m Kelebek</t>
        </is>
      </c>
      <c r="L332" s="2" t="inlineStr">
        <is>
          <t>1:04.04</t>
        </is>
      </c>
      <c r="M332" s="2" t="inlineStr">
        <is>
          <t>400m Karışık</t>
        </is>
      </c>
      <c r="N332" s="2" t="inlineStr">
        <is>
          <t>5:12.53</t>
        </is>
      </c>
      <c r="P332" t="inlineStr">
        <is>
          <t>Tswim Spor Kulübü</t>
        </is>
      </c>
      <c r="Q332" t="inlineStr">
        <is>
          <t>Trabzon</t>
        </is>
      </c>
      <c r="R332">
        <f>Q332=B332</f>
        <v/>
      </c>
      <c r="T332">
        <f>MATCH(D332,[1]Manual!$A:$A,0)</f>
        <v/>
      </c>
    </row>
    <row r="333" ht="15.95" customHeight="1">
      <c r="A333" s="4" t="n">
        <v>332</v>
      </c>
      <c r="B333" s="4" t="inlineStr">
        <is>
          <t>Trabzon</t>
        </is>
      </c>
      <c r="C333" s="5" t="inlineStr">
        <is>
          <t>Erkek</t>
        </is>
      </c>
      <c r="D333" s="5" t="inlineStr">
        <is>
          <t>Yusuf Taha SAĞIR</t>
        </is>
      </c>
      <c r="E333" s="4" t="inlineStr">
        <is>
          <t>14</t>
        </is>
      </c>
      <c r="F333" s="4" t="inlineStr">
        <is>
          <t>21464853211</t>
        </is>
      </c>
      <c r="G333" s="4" t="inlineStr">
        <is>
          <t>100m Serbest</t>
        </is>
      </c>
      <c r="H333" s="4" t="inlineStr">
        <is>
          <t>1:05.15</t>
        </is>
      </c>
      <c r="I333" s="4" t="inlineStr">
        <is>
          <t>100m Sırtüstü</t>
        </is>
      </c>
      <c r="J333" s="4" t="inlineStr">
        <is>
          <t>1:14.82</t>
        </is>
      </c>
      <c r="K333" s="4" t="inlineStr">
        <is>
          <t>200m Serbest</t>
        </is>
      </c>
      <c r="L333" s="4" t="inlineStr">
        <is>
          <t>2:22.21</t>
        </is>
      </c>
      <c r="M333" s="4" t="inlineStr">
        <is>
          <t>200m Sırtüstü</t>
        </is>
      </c>
      <c r="N333" s="4" t="inlineStr">
        <is>
          <t>2:43.81</t>
        </is>
      </c>
      <c r="P333" t="inlineStr">
        <is>
          <t>Tswim Spor Kulübü</t>
        </is>
      </c>
      <c r="Q333" t="inlineStr">
        <is>
          <t>Trabzon</t>
        </is>
      </c>
      <c r="R333">
        <f>Q333=B333</f>
        <v/>
      </c>
      <c r="T333">
        <f>MATCH(D333,[1]Manual!$A:$A,0)</f>
        <v/>
      </c>
    </row>
    <row r="334" ht="15.95" customHeight="1">
      <c r="A334" s="2" t="n">
        <v>333</v>
      </c>
      <c r="B334" s="2" t="inlineStr">
        <is>
          <t>Trabzon</t>
        </is>
      </c>
      <c r="C334" s="3" t="inlineStr">
        <is>
          <t>Erkek</t>
        </is>
      </c>
      <c r="D334" s="3" t="inlineStr">
        <is>
          <t>Ömer Mete ŞİMŞEK</t>
        </is>
      </c>
      <c r="E334" s="2" t="inlineStr">
        <is>
          <t>14</t>
        </is>
      </c>
      <c r="F334" s="2" t="inlineStr">
        <is>
          <t>67390152310</t>
        </is>
      </c>
      <c r="G334" s="2" t="inlineStr">
        <is>
          <t>100m Serbest</t>
        </is>
      </c>
      <c r="H334" s="2" t="inlineStr">
        <is>
          <t>1:06.36</t>
        </is>
      </c>
      <c r="I334" s="2" t="inlineStr">
        <is>
          <t>400m Serbest</t>
        </is>
      </c>
      <c r="J334" s="2" t="inlineStr">
        <is>
          <t>4:54.39</t>
        </is>
      </c>
      <c r="K334" s="2" t="inlineStr">
        <is>
          <t>200m Serbest</t>
        </is>
      </c>
      <c r="L334" s="2" t="inlineStr">
        <is>
          <t>2:21.80</t>
        </is>
      </c>
      <c r="M334" s="2" t="inlineStr">
        <is>
          <t>800m Serbest</t>
        </is>
      </c>
      <c r="N334" s="2" t="inlineStr">
        <is>
          <t>10:09.71</t>
        </is>
      </c>
      <c r="P334" t="inlineStr">
        <is>
          <t>Tswim Spor Kulübü</t>
        </is>
      </c>
      <c r="Q334" t="inlineStr">
        <is>
          <t>Trabzon</t>
        </is>
      </c>
      <c r="R334">
        <f>Q334=B334</f>
        <v/>
      </c>
      <c r="T334">
        <f>MATCH(D334,[1]Manual!$A:$A,0)</f>
        <v/>
      </c>
    </row>
    <row r="335" ht="15.95" customHeight="1">
      <c r="A335" s="4" t="n">
        <v>334</v>
      </c>
      <c r="B335" s="4" t="inlineStr">
        <is>
          <t>Trabzon</t>
        </is>
      </c>
      <c r="C335" s="5" t="inlineStr">
        <is>
          <t>Bayan</t>
        </is>
      </c>
      <c r="D335" s="5" t="inlineStr">
        <is>
          <t>Asel Buğçe YILMAZELİ</t>
        </is>
      </c>
      <c r="E335" s="4" t="inlineStr">
        <is>
          <t>14</t>
        </is>
      </c>
      <c r="F335" s="4" t="inlineStr">
        <is>
          <t>26093698912</t>
        </is>
      </c>
      <c r="G335" s="4" t="inlineStr">
        <is>
          <t>100m Kurbağalama</t>
        </is>
      </c>
      <c r="H335" s="4" t="inlineStr">
        <is>
          <t>1:27.67</t>
        </is>
      </c>
      <c r="I335" s="4" t="inlineStr">
        <is>
          <t>200m Karışık</t>
        </is>
      </c>
      <c r="J335" s="4" t="inlineStr">
        <is>
          <t>2:45.50</t>
        </is>
      </c>
      <c r="K335" s="4" t="inlineStr">
        <is>
          <t>200m Kurbağalama</t>
        </is>
      </c>
      <c r="L335" s="4" t="inlineStr">
        <is>
          <t>3:06.63</t>
        </is>
      </c>
      <c r="M335" s="4" t="inlineStr">
        <is>
          <t>400m Karışık</t>
        </is>
      </c>
      <c r="N335" s="4" t="inlineStr">
        <is>
          <t>5:52.57</t>
        </is>
      </c>
      <c r="P335" t="inlineStr">
        <is>
          <t>Trabzon Okyanus Spor Kulübü</t>
        </is>
      </c>
      <c r="Q335" t="inlineStr">
        <is>
          <t>Trabzon</t>
        </is>
      </c>
      <c r="R335">
        <f>Q335=B335</f>
        <v/>
      </c>
      <c r="T335">
        <f>MATCH(D335,[1]Manual!$A:$A,0)</f>
        <v/>
      </c>
    </row>
    <row r="336" ht="15.95" customHeight="1">
      <c r="A336" s="2" t="n">
        <v>335</v>
      </c>
      <c r="B336" s="2" t="inlineStr">
        <is>
          <t>Trabzon</t>
        </is>
      </c>
      <c r="C336" s="3" t="inlineStr">
        <is>
          <t>Bayan</t>
        </is>
      </c>
      <c r="D336" s="3" t="inlineStr">
        <is>
          <t>Azra GEDİKOĞLU</t>
        </is>
      </c>
      <c r="E336" s="2" t="inlineStr">
        <is>
          <t>11</t>
        </is>
      </c>
      <c r="F336" s="2" t="inlineStr">
        <is>
          <t>19808723412</t>
        </is>
      </c>
      <c r="G336" s="2" t="inlineStr">
        <is>
          <t>100m Kurbağalama</t>
        </is>
      </c>
      <c r="H336" s="2" t="inlineStr">
        <is>
          <t>1:17.99</t>
        </is>
      </c>
      <c r="I336" s="2" t="inlineStr">
        <is>
          <t>200m Karışık</t>
        </is>
      </c>
      <c r="J336" s="2" t="inlineStr">
        <is>
          <t>2:30.05</t>
        </is>
      </c>
      <c r="K336" s="2" t="inlineStr">
        <is>
          <t>200m Kurbağalama</t>
        </is>
      </c>
      <c r="L336" s="2" t="inlineStr">
        <is>
          <t>2:44.18</t>
        </is>
      </c>
      <c r="M336" s="2" t="inlineStr">
        <is>
          <t>400m Karışık</t>
        </is>
      </c>
      <c r="N336" s="2" t="inlineStr">
        <is>
          <t>5:14.03</t>
        </is>
      </c>
      <c r="P336" t="inlineStr">
        <is>
          <t>Tswim Spor Kulübü</t>
        </is>
      </c>
      <c r="Q336" t="inlineStr">
        <is>
          <t>Trabzon</t>
        </is>
      </c>
      <c r="R336">
        <f>Q336=B336</f>
        <v/>
      </c>
      <c r="T336">
        <f>MATCH(D336,[1]Manual!$A:$A,0)</f>
        <v/>
      </c>
    </row>
    <row r="337" ht="15.95" customHeight="1">
      <c r="A337" s="4" t="n">
        <v>336</v>
      </c>
      <c r="B337" s="4" t="inlineStr">
        <is>
          <t>Trabzon</t>
        </is>
      </c>
      <c r="C337" s="5" t="inlineStr">
        <is>
          <t>Bayan</t>
        </is>
      </c>
      <c r="D337" s="5" t="inlineStr">
        <is>
          <t>Beren RİZELİ</t>
        </is>
      </c>
      <c r="E337" s="4" t="inlineStr">
        <is>
          <t>11</t>
        </is>
      </c>
      <c r="F337" s="4" t="inlineStr">
        <is>
          <t>70945032450</t>
        </is>
      </c>
      <c r="G337" s="4" t="inlineStr">
        <is>
          <t>50m Serbest</t>
        </is>
      </c>
      <c r="H337" s="4" t="inlineStr">
        <is>
          <t>28.37</t>
        </is>
      </c>
      <c r="I337" s="4" t="inlineStr">
        <is>
          <t>200m Serbest</t>
        </is>
      </c>
      <c r="J337" s="4" t="inlineStr">
        <is>
          <t>2:10.34</t>
        </is>
      </c>
      <c r="K337" s="4" t="inlineStr">
        <is>
          <t>100m Serbest</t>
        </is>
      </c>
      <c r="L337" s="4" t="inlineStr">
        <is>
          <t>1:00.42</t>
        </is>
      </c>
      <c r="M337" s="4" t="inlineStr">
        <is>
          <t>200m Karışık</t>
        </is>
      </c>
      <c r="N337" s="4" t="inlineStr">
        <is>
          <t>2:30.79</t>
        </is>
      </c>
      <c r="P337" t="inlineStr">
        <is>
          <t>Tswim Spor Kulübü</t>
        </is>
      </c>
      <c r="Q337" t="inlineStr">
        <is>
          <t>Trabzon</t>
        </is>
      </c>
      <c r="R337">
        <f>Q337=B337</f>
        <v/>
      </c>
      <c r="T337">
        <f>MATCH(D337,[1]Manual!$A:$A,0)</f>
        <v/>
      </c>
    </row>
    <row r="338" ht="15.95" customHeight="1">
      <c r="A338" s="2" t="n">
        <v>337</v>
      </c>
      <c r="B338" s="2" t="inlineStr">
        <is>
          <t>Trabzon</t>
        </is>
      </c>
      <c r="C338" s="3" t="inlineStr">
        <is>
          <t>Bayan</t>
        </is>
      </c>
      <c r="D338" s="3" t="inlineStr">
        <is>
          <t>Dora ÖZER</t>
        </is>
      </c>
      <c r="E338" s="2" t="inlineStr">
        <is>
          <t>12</t>
        </is>
      </c>
      <c r="F338" s="2" t="inlineStr">
        <is>
          <t>70252055711</t>
        </is>
      </c>
      <c r="G338" s="2" t="inlineStr">
        <is>
          <t>100m Serbest</t>
        </is>
      </c>
      <c r="H338" s="2" t="inlineStr">
        <is>
          <t>1:02.25</t>
        </is>
      </c>
      <c r="I338" s="2" t="inlineStr">
        <is>
          <t>100m Kurbağalama</t>
        </is>
      </c>
      <c r="J338" s="2" t="inlineStr">
        <is>
          <t>1:20.49</t>
        </is>
      </c>
      <c r="K338" s="2" t="inlineStr">
        <is>
          <t>50m Kurbağalama</t>
        </is>
      </c>
      <c r="L338" s="2" t="inlineStr">
        <is>
          <t>35.70</t>
        </is>
      </c>
      <c r="M338" s="2" t="inlineStr">
        <is>
          <t>200m Kurbağalama</t>
        </is>
      </c>
      <c r="N338" s="2" t="inlineStr">
        <is>
          <t>2:52.24</t>
        </is>
      </c>
      <c r="P338" t="inlineStr">
        <is>
          <t>Tswim Spor Kulübü</t>
        </is>
      </c>
      <c r="Q338" t="inlineStr">
        <is>
          <t>Trabzon</t>
        </is>
      </c>
      <c r="R338">
        <f>Q338=B338</f>
        <v/>
      </c>
      <c r="T338">
        <f>MATCH(D338,[1]Manual!$A:$A,0)</f>
        <v/>
      </c>
    </row>
    <row r="339" ht="15.95" customHeight="1">
      <c r="A339" s="4" t="n">
        <v>338</v>
      </c>
      <c r="B339" s="4" t="inlineStr">
        <is>
          <t>Trabzon</t>
        </is>
      </c>
      <c r="C339" s="5" t="inlineStr">
        <is>
          <t>Bayan</t>
        </is>
      </c>
      <c r="D339" s="5" t="inlineStr">
        <is>
          <t>Elif İpek BAYRAK</t>
        </is>
      </c>
      <c r="E339" s="4" t="inlineStr">
        <is>
          <t>12</t>
        </is>
      </c>
      <c r="F339" s="4" t="inlineStr">
        <is>
          <t>16502847451</t>
        </is>
      </c>
      <c r="G339" s="4" t="inlineStr">
        <is>
          <t>50m Sırtüstü</t>
        </is>
      </c>
      <c r="H339" s="4" t="inlineStr">
        <is>
          <t>31.41</t>
        </is>
      </c>
      <c r="I339" s="4" t="inlineStr">
        <is>
          <t>200m Sırtüstü</t>
        </is>
      </c>
      <c r="J339" s="4" t="inlineStr">
        <is>
          <t>2:24.94</t>
        </is>
      </c>
      <c r="K339" s="4" t="inlineStr">
        <is>
          <t>100m Sırtüstü</t>
        </is>
      </c>
      <c r="L339" s="4" t="inlineStr">
        <is>
          <t>1:07.23</t>
        </is>
      </c>
      <c r="M339" s="4" t="inlineStr">
        <is>
          <t>200m Karışık</t>
        </is>
      </c>
      <c r="N339" s="4" t="inlineStr">
        <is>
          <t>2:30.46</t>
        </is>
      </c>
      <c r="P339" s="12" t="inlineStr">
        <is>
          <t>Tswim Spor Kulübü</t>
        </is>
      </c>
      <c r="Q339" s="12" t="inlineStr">
        <is>
          <t>Trabzon</t>
        </is>
      </c>
      <c r="R339">
        <f>Q339=B339</f>
        <v/>
      </c>
      <c r="T339">
        <f>MATCH(D339,[1]Manual!$A:$A,0)</f>
        <v/>
      </c>
    </row>
    <row r="340" ht="15.95" customHeight="1">
      <c r="A340" s="2" t="n">
        <v>339</v>
      </c>
      <c r="B340" s="11" t="inlineStr">
        <is>
          <t>Trabzon</t>
        </is>
      </c>
      <c r="C340" s="3" t="inlineStr">
        <is>
          <t>Bayan</t>
        </is>
      </c>
      <c r="D340" s="3" t="inlineStr">
        <is>
          <t>Nisa Nur ILYAN</t>
        </is>
      </c>
      <c r="E340" s="2" t="inlineStr">
        <is>
          <t>14</t>
        </is>
      </c>
      <c r="F340" s="2" t="inlineStr">
        <is>
          <t>24248760419</t>
        </is>
      </c>
      <c r="G340" s="2" t="inlineStr">
        <is>
          <t>100m Serbest</t>
        </is>
      </c>
      <c r="H340" s="2" t="inlineStr">
        <is>
          <t>1:07.74</t>
        </is>
      </c>
      <c r="I340" s="2" t="inlineStr">
        <is>
          <t>800m Serbest</t>
        </is>
      </c>
      <c r="J340" s="2" t="inlineStr">
        <is>
          <t>10:40.19</t>
        </is>
      </c>
      <c r="K340" s="2" t="inlineStr">
        <is>
          <t>200m Serbest</t>
        </is>
      </c>
      <c r="L340" s="2" t="inlineStr">
        <is>
          <t>2:27.32</t>
        </is>
      </c>
      <c r="M340" s="2" t="inlineStr">
        <is>
          <t>100m Kelebek</t>
        </is>
      </c>
      <c r="N340" s="2" t="inlineStr">
        <is>
          <t>1:14.28</t>
        </is>
      </c>
      <c r="P340" s="6" t="inlineStr">
        <is>
          <t>Trabzon Buyuksehir Belediyesi Spor Kulübü</t>
        </is>
      </c>
      <c r="Q340" s="16" t="inlineStr">
        <is>
          <t>Trabzon</t>
        </is>
      </c>
      <c r="R340">
        <f>Q340=B340</f>
        <v/>
      </c>
      <c r="T340">
        <f>MATCH(D340,[1]Manual!$A:$A,0)</f>
        <v/>
      </c>
    </row>
    <row r="341" ht="15.95" customHeight="1">
      <c r="A341" s="4" t="n">
        <v>340</v>
      </c>
      <c r="B341" s="4" t="inlineStr">
        <is>
          <t>Trabzon</t>
        </is>
      </c>
      <c r="C341" s="5" t="inlineStr">
        <is>
          <t>Bayan</t>
        </is>
      </c>
      <c r="D341" s="5" t="inlineStr">
        <is>
          <t>Zeynep KÜÇÜK</t>
        </is>
      </c>
      <c r="E341" s="4" t="inlineStr">
        <is>
          <t>14</t>
        </is>
      </c>
      <c r="F341" s="4" t="inlineStr">
        <is>
          <t>21314858214</t>
        </is>
      </c>
      <c r="G341" s="4" t="inlineStr">
        <is>
          <t>100m Serbest</t>
        </is>
      </c>
      <c r="H341" s="4" t="inlineStr">
        <is>
          <t>57.72</t>
        </is>
      </c>
      <c r="I341" s="4" t="inlineStr">
        <is>
          <t>100m Kelebek</t>
        </is>
      </c>
      <c r="J341" s="4" t="inlineStr">
        <is>
          <t>1:12.85</t>
        </is>
      </c>
      <c r="K341" s="4" t="inlineStr">
        <is>
          <t>200m Serbest</t>
        </is>
      </c>
      <c r="L341" s="4" t="inlineStr">
        <is>
          <t>2:28.69</t>
        </is>
      </c>
      <c r="M341" s="4" t="inlineStr">
        <is>
          <t>200m Kelebek</t>
        </is>
      </c>
      <c r="N341" s="4" t="inlineStr">
        <is>
          <t>2:48.79</t>
        </is>
      </c>
      <c r="P341" t="inlineStr">
        <is>
          <t>Tswim Spor Kulübü</t>
        </is>
      </c>
      <c r="Q341" t="inlineStr">
        <is>
          <t>Trabzon</t>
        </is>
      </c>
      <c r="R341">
        <f>Q341=B341</f>
        <v/>
      </c>
      <c r="T341">
        <f>MATCH(D341,[1]Manual!$A:$A,0)</f>
        <v/>
      </c>
    </row>
    <row r="342" ht="15.95" customHeight="1">
      <c r="A342" s="2" t="n">
        <v>341</v>
      </c>
      <c r="B342" s="2" t="inlineStr">
        <is>
          <t>Çanakkale</t>
        </is>
      </c>
      <c r="C342" s="3" t="inlineStr">
        <is>
          <t>Erkek</t>
        </is>
      </c>
      <c r="D342" s="3" t="inlineStr">
        <is>
          <t>Batuhan KAYA</t>
        </is>
      </c>
      <c r="E342" s="2" t="inlineStr">
        <is>
          <t>13</t>
        </is>
      </c>
      <c r="F342" s="2" t="inlineStr">
        <is>
          <t>32179281714</t>
        </is>
      </c>
      <c r="G342" s="2" t="inlineStr">
        <is>
          <t>100m Sırtüstü</t>
        </is>
      </c>
      <c r="H342" s="2" t="inlineStr">
        <is>
          <t>1:17.49</t>
        </is>
      </c>
      <c r="I342" s="2" t="inlineStr">
        <is>
          <t>200m Karışık</t>
        </is>
      </c>
      <c r="J342" s="2" t="inlineStr">
        <is>
          <t>2:31.29</t>
        </is>
      </c>
      <c r="K342" s="2" t="inlineStr">
        <is>
          <t>100m Kelebek</t>
        </is>
      </c>
      <c r="L342" s="2" t="inlineStr">
        <is>
          <t>1:06.30</t>
        </is>
      </c>
      <c r="M342" s="2" t="inlineStr">
        <is>
          <t>400m Karışık</t>
        </is>
      </c>
      <c r="N342" s="2" t="inlineStr">
        <is>
          <t>NT</t>
        </is>
      </c>
      <c r="P342" t="inlineStr">
        <is>
          <t>Içdaş Spor Kulübü</t>
        </is>
      </c>
      <c r="Q342" t="inlineStr">
        <is>
          <t>Çanakkale</t>
        </is>
      </c>
      <c r="R342">
        <f>Q342=B342</f>
        <v/>
      </c>
      <c r="T342">
        <f>MATCH(D342,[1]Manual!$A:$A,0)</f>
        <v/>
      </c>
    </row>
    <row r="343" ht="15.95" customHeight="1">
      <c r="A343" s="4" t="n">
        <v>342</v>
      </c>
      <c r="B343" s="4" t="inlineStr">
        <is>
          <t>Çanakkale</t>
        </is>
      </c>
      <c r="C343" s="5" t="inlineStr">
        <is>
          <t>Erkek</t>
        </is>
      </c>
      <c r="D343" s="5" t="inlineStr">
        <is>
          <t>Kıvanç GÜL</t>
        </is>
      </c>
      <c r="E343" s="4" t="inlineStr">
        <is>
          <t>14</t>
        </is>
      </c>
      <c r="F343" s="4" t="inlineStr">
        <is>
          <t>21865624711</t>
        </is>
      </c>
      <c r="G343" s="4" t="inlineStr">
        <is>
          <t>100m Serbest</t>
        </is>
      </c>
      <c r="H343" s="4" t="inlineStr">
        <is>
          <t>1:08.52</t>
        </is>
      </c>
      <c r="I343" s="4" t="inlineStr">
        <is>
          <t>200m Sırtüstü</t>
        </is>
      </c>
      <c r="J343" s="4" t="inlineStr">
        <is>
          <t>2:40.87</t>
        </is>
      </c>
      <c r="K343" s="4" t="inlineStr">
        <is>
          <t>100m Sırtüstü</t>
        </is>
      </c>
      <c r="L343" s="4" t="inlineStr">
        <is>
          <t>1:15.34</t>
        </is>
      </c>
      <c r="M343" s="4" t="inlineStr">
        <is>
          <t>200m Karışık</t>
        </is>
      </c>
      <c r="N343" s="4" t="inlineStr">
        <is>
          <t>2:49.58</t>
        </is>
      </c>
      <c r="P343" t="inlineStr">
        <is>
          <t>Içdaş Spor Kulübü</t>
        </is>
      </c>
      <c r="Q343" t="inlineStr">
        <is>
          <t>Çanakkale</t>
        </is>
      </c>
      <c r="R343">
        <f>Q343=B343</f>
        <v/>
      </c>
      <c r="T343">
        <f>MATCH(D343,[1]Manual!$A:$A,0)</f>
        <v/>
      </c>
    </row>
    <row r="344" ht="15.95" customHeight="1">
      <c r="A344" s="2" t="n">
        <v>343</v>
      </c>
      <c r="B344" s="2" t="inlineStr">
        <is>
          <t>Çanakkale</t>
        </is>
      </c>
      <c r="C344" s="3" t="inlineStr">
        <is>
          <t>Bayan</t>
        </is>
      </c>
      <c r="D344" s="3" t="inlineStr">
        <is>
          <t>Defne BAHAR</t>
        </is>
      </c>
      <c r="E344" s="2" t="inlineStr">
        <is>
          <t>13</t>
        </is>
      </c>
      <c r="F344" s="2" t="inlineStr">
        <is>
          <t>47767963819</t>
        </is>
      </c>
      <c r="G344" s="2" t="inlineStr">
        <is>
          <t>100m Serbest</t>
        </is>
      </c>
      <c r="H344" s="2" t="inlineStr">
        <is>
          <t>1:04.08</t>
        </is>
      </c>
      <c r="I344" s="2" t="inlineStr">
        <is>
          <t>100m Kelebek</t>
        </is>
      </c>
      <c r="J344" s="2" t="inlineStr">
        <is>
          <t>1:13.80</t>
        </is>
      </c>
      <c r="K344" s="2" t="inlineStr">
        <is>
          <t>200m Serbest</t>
        </is>
      </c>
      <c r="L344" s="2" t="inlineStr">
        <is>
          <t>2:23.58</t>
        </is>
      </c>
      <c r="M344" s="2" t="inlineStr">
        <is>
          <t>200m Kelebek</t>
        </is>
      </c>
      <c r="N344" s="2" t="inlineStr">
        <is>
          <t>2:50.72</t>
        </is>
      </c>
      <c r="P344" t="inlineStr">
        <is>
          <t>Çanakkale Belediye Spor Kulübü</t>
        </is>
      </c>
      <c r="Q344" t="inlineStr">
        <is>
          <t>Çanakkale</t>
        </is>
      </c>
      <c r="R344">
        <f>Q344=B344</f>
        <v/>
      </c>
      <c r="T344">
        <f>MATCH(D344,[1]Manual!$A:$A,0)</f>
        <v/>
      </c>
    </row>
    <row r="345" ht="15.95" customHeight="1">
      <c r="A345" s="4" t="n">
        <v>344</v>
      </c>
      <c r="B345" s="4" t="inlineStr">
        <is>
          <t>Çanakkale</t>
        </is>
      </c>
      <c r="C345" s="5" t="inlineStr">
        <is>
          <t>Bayan</t>
        </is>
      </c>
      <c r="D345" s="5" t="inlineStr">
        <is>
          <t>Ecem Gülce YILMAZ</t>
        </is>
      </c>
      <c r="E345" s="4" t="inlineStr">
        <is>
          <t>14</t>
        </is>
      </c>
      <c r="F345" s="4" t="inlineStr">
        <is>
          <t>14166088218</t>
        </is>
      </c>
      <c r="G345" s="4" t="inlineStr">
        <is>
          <t>1500m Serbest</t>
        </is>
      </c>
      <c r="H345" s="4" t="inlineStr">
        <is>
          <t>20:24.78</t>
        </is>
      </c>
      <c r="I345" s="4" t="inlineStr">
        <is>
          <t>200m Sırtüstü</t>
        </is>
      </c>
      <c r="J345" s="4" t="inlineStr">
        <is>
          <t>2:46.50</t>
        </is>
      </c>
      <c r="K345" s="4" t="inlineStr">
        <is>
          <t>100m Sırtüstü</t>
        </is>
      </c>
      <c r="L345" s="4" t="inlineStr">
        <is>
          <t>1:14.70</t>
        </is>
      </c>
      <c r="M345" s="4" t="inlineStr">
        <is>
          <t>400m Karışık</t>
        </is>
      </c>
      <c r="N345" s="4" t="inlineStr">
        <is>
          <t>6:00.13</t>
        </is>
      </c>
      <c r="P345" t="inlineStr">
        <is>
          <t>Çanakkale Belediye Spor Kulübü</t>
        </is>
      </c>
      <c r="Q345" t="inlineStr">
        <is>
          <t>Çanakkale</t>
        </is>
      </c>
      <c r="R345">
        <f>Q345=B345</f>
        <v/>
      </c>
      <c r="T345">
        <f>MATCH(D345,[1]Manual!$A:$A,0)</f>
        <v/>
      </c>
    </row>
    <row r="346" ht="15.95" customHeight="1">
      <c r="A346" s="2" t="n">
        <v>345</v>
      </c>
      <c r="B346" s="2" t="inlineStr">
        <is>
          <t>Çanakkale</t>
        </is>
      </c>
      <c r="C346" s="3" t="inlineStr">
        <is>
          <t>Bayan</t>
        </is>
      </c>
      <c r="D346" s="3" t="inlineStr">
        <is>
          <t>Eda ÖZRENK</t>
        </is>
      </c>
      <c r="E346" s="2" t="inlineStr">
        <is>
          <t>14</t>
        </is>
      </c>
      <c r="F346" s="2" t="inlineStr">
        <is>
          <t>19738695888</t>
        </is>
      </c>
      <c r="G346" s="2" t="inlineStr">
        <is>
          <t>800m Serbest</t>
        </is>
      </c>
      <c r="H346" s="2" t="inlineStr">
        <is>
          <t>10:45.92</t>
        </is>
      </c>
      <c r="I346" s="2" t="inlineStr">
        <is>
          <t>200m Kurbağalama</t>
        </is>
      </c>
      <c r="J346" s="2" t="inlineStr">
        <is>
          <t>3:17.68</t>
        </is>
      </c>
      <c r="K346" s="2" t="inlineStr">
        <is>
          <t>100m Kurbağalama</t>
        </is>
      </c>
      <c r="L346" s="2" t="inlineStr">
        <is>
          <t>NT</t>
        </is>
      </c>
      <c r="M346" s="2" t="inlineStr">
        <is>
          <t>200m Karışık</t>
        </is>
      </c>
      <c r="N346" s="2" t="inlineStr">
        <is>
          <t>2:50.94</t>
        </is>
      </c>
      <c r="P346" t="inlineStr">
        <is>
          <t>Çanakkale Belediye Spor Kulübü</t>
        </is>
      </c>
      <c r="Q346" t="inlineStr">
        <is>
          <t>Çanakkale</t>
        </is>
      </c>
      <c r="R346">
        <f>Q346=B346</f>
        <v/>
      </c>
      <c r="T346">
        <f>MATCH(D346,[1]Manual!$A:$A,0)</f>
        <v/>
      </c>
    </row>
    <row r="347" ht="15.95" customHeight="1">
      <c r="A347" s="4" t="n">
        <v>346</v>
      </c>
      <c r="B347" s="4" t="inlineStr">
        <is>
          <t>Çanakkale</t>
        </is>
      </c>
      <c r="C347" s="5" t="inlineStr">
        <is>
          <t>Bayan</t>
        </is>
      </c>
      <c r="D347" s="5" t="inlineStr">
        <is>
          <t>Melek Gülce ÇELİK</t>
        </is>
      </c>
      <c r="E347" s="4" t="inlineStr">
        <is>
          <t>14</t>
        </is>
      </c>
      <c r="F347" s="4" t="inlineStr">
        <is>
          <t>40045190215</t>
        </is>
      </c>
      <c r="G347" s="4" t="inlineStr">
        <is>
          <t>100m Sırtüstü</t>
        </is>
      </c>
      <c r="H347" s="4" t="inlineStr">
        <is>
          <t>1:12.24</t>
        </is>
      </c>
      <c r="I347" s="4" t="inlineStr">
        <is>
          <t>200m Karışık</t>
        </is>
      </c>
      <c r="J347" s="4" t="inlineStr">
        <is>
          <t>2:43.29</t>
        </is>
      </c>
      <c r="K347" s="4" t="inlineStr">
        <is>
          <t>200m Sırtüstü</t>
        </is>
      </c>
      <c r="L347" s="4" t="inlineStr">
        <is>
          <t>2:38.23</t>
        </is>
      </c>
      <c r="M347" s="4" t="inlineStr">
        <is>
          <t>400m Karışık</t>
        </is>
      </c>
      <c r="N347" s="4" t="inlineStr">
        <is>
          <t>NT</t>
        </is>
      </c>
      <c r="P347" t="inlineStr">
        <is>
          <t>Çanakkale Belediye Spor Kulübü</t>
        </is>
      </c>
      <c r="Q347" t="inlineStr">
        <is>
          <t>Çanakkale</t>
        </is>
      </c>
      <c r="R347">
        <f>Q347=B347</f>
        <v/>
      </c>
      <c r="T347">
        <f>MATCH(D347,[1]Manual!$A:$A,0)</f>
        <v/>
      </c>
    </row>
    <row r="348" ht="15.95" customHeight="1">
      <c r="A348" s="2" t="n">
        <v>347</v>
      </c>
      <c r="B348" s="2" t="inlineStr">
        <is>
          <t>Çanakkale</t>
        </is>
      </c>
      <c r="C348" s="3" t="inlineStr">
        <is>
          <t>Bayan</t>
        </is>
      </c>
      <c r="D348" s="3" t="inlineStr">
        <is>
          <t>Mina AKTAŞ</t>
        </is>
      </c>
      <c r="E348" s="2" t="inlineStr">
        <is>
          <t>14</t>
        </is>
      </c>
      <c r="F348" s="2" t="inlineStr">
        <is>
          <t>34732182913</t>
        </is>
      </c>
      <c r="G348" s="2" t="inlineStr">
        <is>
          <t>100m Serbest</t>
        </is>
      </c>
      <c r="H348" s="2" t="inlineStr">
        <is>
          <t>1:07.29</t>
        </is>
      </c>
      <c r="I348" s="2" t="inlineStr">
        <is>
          <t>200m Sırtüstü</t>
        </is>
      </c>
      <c r="J348" s="2" t="inlineStr">
        <is>
          <t>2:43.34</t>
        </is>
      </c>
      <c r="K348" s="2" t="inlineStr">
        <is>
          <t>100m Sırtüstü</t>
        </is>
      </c>
      <c r="L348" s="2" t="inlineStr">
        <is>
          <t>1:17.26</t>
        </is>
      </c>
      <c r="M348" s="2" t="inlineStr">
        <is>
          <t>200m Karışık</t>
        </is>
      </c>
      <c r="N348" s="2" t="inlineStr">
        <is>
          <t>2:47.61</t>
        </is>
      </c>
      <c r="P348" t="inlineStr">
        <is>
          <t>Biga Gelisim Spor Kulübü</t>
        </is>
      </c>
      <c r="Q348" t="inlineStr">
        <is>
          <t>Çanakkale</t>
        </is>
      </c>
      <c r="R348">
        <f>Q348=B348</f>
        <v/>
      </c>
      <c r="T348">
        <f>MATCH(D348,[1]Manual!$A:$A,0)</f>
        <v/>
      </c>
    </row>
    <row r="349" ht="15.95" customHeight="1">
      <c r="A349" s="4" t="n">
        <v>348</v>
      </c>
      <c r="B349" s="4" t="inlineStr">
        <is>
          <t>Çanakkale</t>
        </is>
      </c>
      <c r="C349" s="5" t="inlineStr">
        <is>
          <t>Bayan</t>
        </is>
      </c>
      <c r="D349" s="5" t="inlineStr">
        <is>
          <t>Yağmur YALDIZ</t>
        </is>
      </c>
      <c r="E349" s="4" t="inlineStr">
        <is>
          <t>13</t>
        </is>
      </c>
      <c r="F349" s="4" t="inlineStr">
        <is>
          <t>35008172911</t>
        </is>
      </c>
      <c r="G349" s="4" t="inlineStr">
        <is>
          <t>100m Serbest</t>
        </is>
      </c>
      <c r="H349" s="4" t="inlineStr">
        <is>
          <t>1:04.80</t>
        </is>
      </c>
      <c r="I349" s="4" t="inlineStr">
        <is>
          <t>200m Sırtüstü</t>
        </is>
      </c>
      <c r="J349" s="4" t="inlineStr">
        <is>
          <t>2:39.48</t>
        </is>
      </c>
      <c r="K349" s="4" t="inlineStr">
        <is>
          <t>100m Sırtüstü</t>
        </is>
      </c>
      <c r="L349" s="4" t="inlineStr">
        <is>
          <t>1:13.51</t>
        </is>
      </c>
      <c r="M349" s="4" t="inlineStr">
        <is>
          <t>200m Karışık</t>
        </is>
      </c>
      <c r="N349" s="4" t="inlineStr">
        <is>
          <t>2:40.90</t>
        </is>
      </c>
      <c r="P349" t="inlineStr">
        <is>
          <t>Biga Gelisim Spor Kulübü</t>
        </is>
      </c>
      <c r="Q349" t="inlineStr">
        <is>
          <t>Çanakkale</t>
        </is>
      </c>
      <c r="R349">
        <f>Q349=B349</f>
        <v/>
      </c>
      <c r="T349">
        <f>MATCH(D349,[1]Manual!$A:$A,0)</f>
        <v/>
      </c>
    </row>
    <row r="350" ht="15.95" customHeight="1">
      <c r="A350" s="2" t="n">
        <v>349</v>
      </c>
      <c r="B350" s="11" t="inlineStr">
        <is>
          <t>Çanakkale</t>
        </is>
      </c>
      <c r="C350" s="3" t="inlineStr">
        <is>
          <t>Bayan</t>
        </is>
      </c>
      <c r="D350" s="3" t="inlineStr">
        <is>
          <t>Zeynep TELLİ</t>
        </is>
      </c>
      <c r="E350" s="2" t="inlineStr">
        <is>
          <t>14</t>
        </is>
      </c>
      <c r="F350" s="2" t="inlineStr">
        <is>
          <t>21202068724</t>
        </is>
      </c>
      <c r="G350" s="2" t="inlineStr">
        <is>
          <t>200m Serbest</t>
        </is>
      </c>
      <c r="H350" s="2" t="inlineStr">
        <is>
          <t>2:22.22</t>
        </is>
      </c>
      <c r="I350" s="2" t="inlineStr">
        <is>
          <t>800m Serbest</t>
        </is>
      </c>
      <c r="J350" s="2" t="inlineStr">
        <is>
          <t>10:22.10</t>
        </is>
      </c>
      <c r="K350" s="2" t="inlineStr">
        <is>
          <t>400m Serbest</t>
        </is>
      </c>
      <c r="L350" s="2" t="inlineStr">
        <is>
          <t>5:00.33</t>
        </is>
      </c>
      <c r="M350" s="2" t="inlineStr">
        <is>
          <t>1500m Serbest</t>
        </is>
      </c>
      <c r="N350" s="2" t="inlineStr">
        <is>
          <t>19:45.31</t>
        </is>
      </c>
      <c r="P350" s="6" t="inlineStr">
        <is>
          <t>Çanakkale Belediye Spor Kulübü</t>
        </is>
      </c>
      <c r="Q350" s="16" t="inlineStr">
        <is>
          <t>Çanakkale</t>
        </is>
      </c>
      <c r="R350">
        <f>Q350=B350</f>
        <v/>
      </c>
      <c r="T350">
        <f>MATCH(D350,[1]Manual!$A:$A,0)</f>
        <v/>
      </c>
    </row>
    <row r="351">
      <c r="A351" t="n">
        <v>350</v>
      </c>
      <c r="B351" t="inlineStr">
        <is>
          <t>Kayseri</t>
        </is>
      </c>
      <c r="C351" t="inlineStr">
        <is>
          <t>Bayan</t>
        </is>
      </c>
      <c r="D351" t="inlineStr">
        <is>
          <t>Ceren TUNCAY</t>
        </is>
      </c>
      <c r="E351" t="inlineStr">
        <is>
          <t>12</t>
        </is>
      </c>
      <c r="G351" t="inlineStr">
        <is>
          <t>100m Serbest</t>
        </is>
      </c>
      <c r="H351" t="inlineStr">
        <is>
          <t>1:03.29</t>
        </is>
      </c>
      <c r="I351" t="inlineStr">
        <is>
          <t>100m Kurbağalama</t>
        </is>
      </c>
      <c r="J351" t="inlineStr">
        <is>
          <t>1:21.82</t>
        </is>
      </c>
      <c r="K351" t="inlineStr">
        <is>
          <t>50m Serbest</t>
        </is>
      </c>
      <c r="L351" t="inlineStr">
        <is>
          <t>28.72</t>
        </is>
      </c>
      <c r="P351" t="inlineStr">
        <is>
          <t>Kayseri Su Sporları Spor Kulübü</t>
        </is>
      </c>
      <c r="Q351" t="inlineStr">
        <is>
          <t>Kayseri</t>
        </is>
      </c>
      <c r="R351">
        <f>Q351=B351</f>
        <v/>
      </c>
      <c r="T351">
        <f>MATCH(D351,[1]Manual!$A:$A,0)</f>
        <v/>
      </c>
    </row>
    <row r="352">
      <c r="A352" t="n">
        <v>351</v>
      </c>
      <c r="B352" t="inlineStr">
        <is>
          <t>İstanbul</t>
        </is>
      </c>
      <c r="C352" t="inlineStr">
        <is>
          <t>Bayan</t>
        </is>
      </c>
      <c r="D352" t="inlineStr">
        <is>
          <t>Öykü AKÇORA</t>
        </is>
      </c>
      <c r="E352" t="inlineStr">
        <is>
          <t>10</t>
        </is>
      </c>
      <c r="G352" t="inlineStr">
        <is>
          <t>100m Serbest</t>
        </is>
      </c>
      <c r="H352" t="inlineStr">
        <is>
          <t>59.19</t>
        </is>
      </c>
      <c r="I352" t="inlineStr">
        <is>
          <t>50m Sırtüstü</t>
        </is>
      </c>
      <c r="J352" t="inlineStr">
        <is>
          <t>30.88</t>
        </is>
      </c>
      <c r="K352" t="inlineStr">
        <is>
          <t>100m Sırtüstü</t>
        </is>
      </c>
      <c r="L352" t="inlineStr">
        <is>
          <t>1:05.40</t>
        </is>
      </c>
      <c r="P352" t="inlineStr">
        <is>
          <t>Enka Spor Kulübü</t>
        </is>
      </c>
      <c r="Q352" t="inlineStr">
        <is>
          <t>İstanbul</t>
        </is>
      </c>
      <c r="R352">
        <f>Q352=B352</f>
        <v/>
      </c>
      <c r="T352">
        <f>MATCH(D352,[1]Manual!$A:$A,0)</f>
        <v/>
      </c>
    </row>
    <row r="353">
      <c r="A353" t="n">
        <v>352</v>
      </c>
      <c r="B353" t="inlineStr">
        <is>
          <t>İstanbul</t>
        </is>
      </c>
      <c r="C353" t="inlineStr">
        <is>
          <t>Erkek</t>
        </is>
      </c>
      <c r="D353" t="inlineStr">
        <is>
          <t>Sarp Barkın HASAY</t>
        </is>
      </c>
      <c r="E353" t="inlineStr">
        <is>
          <t>10</t>
        </is>
      </c>
      <c r="G353" t="inlineStr">
        <is>
          <t>100m Kelebek</t>
        </is>
      </c>
      <c r="H353" t="inlineStr">
        <is>
          <t>57.09</t>
        </is>
      </c>
      <c r="I353" t="inlineStr">
        <is>
          <t>50m Sırtüstü</t>
        </is>
      </c>
      <c r="J353" t="inlineStr">
        <is>
          <t>26.85</t>
        </is>
      </c>
      <c r="K353" t="inlineStr">
        <is>
          <t>200m Sırtüstü</t>
        </is>
      </c>
      <c r="L353" t="inlineStr">
        <is>
          <t>2:05.72</t>
        </is>
      </c>
      <c r="M353" t="inlineStr">
        <is>
          <t>100m Sırtüstü</t>
        </is>
      </c>
      <c r="N353" t="inlineStr">
        <is>
          <t>57.28</t>
        </is>
      </c>
      <c r="P353" t="inlineStr">
        <is>
          <t>Enka Spor Kulübü</t>
        </is>
      </c>
      <c r="Q353" t="inlineStr">
        <is>
          <t>İstanbul</t>
        </is>
      </c>
      <c r="R353">
        <f>Q353=B353</f>
        <v/>
      </c>
      <c r="T353">
        <f>MATCH(D353,[1]Manual!$A:$A,0)</f>
        <v/>
      </c>
    </row>
  </sheetData>
  <autoFilter ref="A1:U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2026-07-16T08:27:37Z</dcterms:created>
  <dcterms:modified xmlns:dcterms="http://purl.org/dc/terms/" xmlns:xsi="http://www.w3.org/2001/XMLSchema-instance" xsi:type="dcterms:W3CDTF">2026-07-26T16:31:16Z</dcterms:modified>
  <cp:lastModifiedBy>Noktacom Medya</cp:lastModifiedBy>
</cp:coreProperties>
</file>